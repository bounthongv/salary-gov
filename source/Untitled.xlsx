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Ministries\LaoAirline\"/>
    </mc:Choice>
  </mc:AlternateContent>
  <xr:revisionPtr revIDLastSave="0" documentId="8_{64B8AA75-08B5-4488-B667-40889CCBF49F}" xr6:coauthVersionLast="47" xr6:coauthVersionMax="47" xr10:uidLastSave="{00000000-0000-0000-0000-000000000000}"/>
  <bookViews>
    <workbookView xWindow="-108" yWindow="-108" windowWidth="23256" windowHeight="12456" tabRatio="597" activeTab="3" xr2:uid="{00000000-000D-0000-FFFF-FFFF00000000}"/>
  </bookViews>
  <sheets>
    <sheet name="ຊັ້ນຂັ້ນ" sheetId="74" r:id="rId1"/>
    <sheet name="ປີການ." sheetId="75" r:id="rId2"/>
    <sheet name="ຂັ້ນເງິນເດືອນ" sheetId="76" r:id="rId3"/>
    <sheet name="Ground" sheetId="6" r:id="rId4"/>
    <sheet name="Crew" sheetId="22" r:id="rId5"/>
    <sheet name="TEX" sheetId="41" r:id="rId6"/>
    <sheet name="ຊຽ່ວຊານ" sheetId="68" r:id="rId7"/>
    <sheet name="for" sheetId="62" r:id="rId8"/>
    <sheet name="ex.ເງິນເດືອນ" sheetId="69" r:id="rId9"/>
    <sheet name="ex. ເງິນເຄື່ອນໄຫວ" sheetId="72" r:id="rId10"/>
    <sheet name="ex.bkk-1" sheetId="73" r:id="rId11"/>
    <sheet name="ex.bkk-2" sheetId="71" r:id="rId12"/>
  </sheets>
  <externalReferences>
    <externalReference r:id="rId13"/>
  </externalReferences>
  <definedNames>
    <definedName name="_xlnm.Print_Area" localSheetId="4">Crew!$A$1:$W$14</definedName>
    <definedName name="_xlnm.Print_Area" localSheetId="7">for!$A$1:$Z$17</definedName>
    <definedName name="_xlnm.Print_Area" localSheetId="3">Ground!$A$1:$AB$14</definedName>
    <definedName name="_xlnm.Print_Area" localSheetId="5">TEX!$A$1:$AB$13</definedName>
    <definedName name="_xlnm.Print_Area" localSheetId="6">ຊຽ່ວຊານ!$A$1:$S$13</definedName>
    <definedName name="_xlnm.Print_Titles" localSheetId="4">Crew!$7:$10</definedName>
    <definedName name="_xlnm.Print_Titles" localSheetId="3">Ground!$8:$10</definedName>
    <definedName name="_xlnm.Print_Titles" localSheetId="5">TEX!$7:$9</definedName>
    <definedName name="_xlnm.Print_Titles" localSheetId="6">ຊຽ່ວຊານ!$7:$10</definedName>
    <definedName name="Z_2475EF64_AF17_4A2D_9C44_7B84D6678F02_.wvu.Cols" localSheetId="4" hidden="1">Crew!#REF!,Crew!#REF!,Crew!#REF!,Crew!#REF!,Crew!#REF!,Crew!#REF!,Crew!#REF!</definedName>
    <definedName name="Z_2475EF64_AF17_4A2D_9C44_7B84D6678F02_.wvu.Cols" localSheetId="7" hidden="1">for!#REF!,for!$I:$I,for!#REF!</definedName>
    <definedName name="Z_2475EF64_AF17_4A2D_9C44_7B84D6678F02_.wvu.Cols" localSheetId="3" hidden="1">Ground!#REF!,Ground!#REF!,Ground!#REF!,Ground!#REF!,Ground!#REF!</definedName>
    <definedName name="Z_2475EF64_AF17_4A2D_9C44_7B84D6678F02_.wvu.Cols" localSheetId="5" hidden="1">TEX!#REF!,TEX!#REF!,TEX!#REF!,TEX!#REF!</definedName>
    <definedName name="Z_2475EF64_AF17_4A2D_9C44_7B84D6678F02_.wvu.Cols" localSheetId="6" hidden="1">ຊຽ່ວຊານ!#REF!,ຊຽ່ວຊານ!#REF!,ຊຽ່ວຊານ!#REF!,ຊຽ່ວຊານ!#REF!</definedName>
    <definedName name="Z_2475EF64_AF17_4A2D_9C44_7B84D6678F02_.wvu.PrintArea" localSheetId="4" hidden="1">Crew!$A$1:$W$14</definedName>
    <definedName name="Z_2475EF64_AF17_4A2D_9C44_7B84D6678F02_.wvu.PrintArea" localSheetId="7" hidden="1">for!$A$1:$Z$17</definedName>
    <definedName name="Z_2475EF64_AF17_4A2D_9C44_7B84D6678F02_.wvu.PrintArea" localSheetId="3" hidden="1">Ground!$A$1:$AB$14</definedName>
    <definedName name="Z_2475EF64_AF17_4A2D_9C44_7B84D6678F02_.wvu.PrintArea" localSheetId="5" hidden="1">TEX!$A$1:$AB$13</definedName>
    <definedName name="Z_2475EF64_AF17_4A2D_9C44_7B84D6678F02_.wvu.PrintArea" localSheetId="6" hidden="1">ຊຽ່ວຊານ!$A$1:$S$13</definedName>
    <definedName name="Z_2475EF64_AF17_4A2D_9C44_7B84D6678F02_.wvu.PrintTitles" localSheetId="4" hidden="1">Crew!$7:$10</definedName>
    <definedName name="Z_2475EF64_AF17_4A2D_9C44_7B84D6678F02_.wvu.PrintTitles" localSheetId="3" hidden="1">Ground!$8:$10</definedName>
    <definedName name="Z_2475EF64_AF17_4A2D_9C44_7B84D6678F02_.wvu.PrintTitles" localSheetId="5" hidden="1">TEX!$7:$9</definedName>
    <definedName name="Z_2475EF64_AF17_4A2D_9C44_7B84D6678F02_.wvu.PrintTitles" localSheetId="6" hidden="1">ຊຽ່ວຊານ!$7:$10</definedName>
    <definedName name="Z_2475EF64_AF17_4A2D_9C44_7B84D6678F02_.wvu.Rows" localSheetId="4" hidden="1">Crew!#REF!,Crew!$8:$8,Crew!$11:$11,Crew!#REF!</definedName>
    <definedName name="Z_2475EF64_AF17_4A2D_9C44_7B84D6678F02_.wvu.Rows" localSheetId="7" hidden="1">for!#REF!,for!#REF!,for!#REF!</definedName>
    <definedName name="Z_2475EF64_AF17_4A2D_9C44_7B84D6678F02_.wvu.Rows" localSheetId="3" hidden="1">Ground!#REF!,Ground!$11:$11</definedName>
    <definedName name="Z_2475EF64_AF17_4A2D_9C44_7B84D6678F02_.wvu.Rows" localSheetId="5" hidden="1">TEX!$8:$8,TEX!$10:$10</definedName>
    <definedName name="Z_2475EF64_AF17_4A2D_9C44_7B84D6678F02_.wvu.Rows" localSheetId="6" hidden="1">ຊຽ່ວຊານ!#REF!</definedName>
  </definedNames>
  <calcPr calcId="191029"/>
  <customWorkbookViews>
    <customWorkbookView name="A1'" guid="{2475EF64-AF17-4A2D-9C44-7B84D6678F02}" maximized="1" xWindow="-8" yWindow="-8" windowWidth="1936" windowHeight="1048" tabRatio="598" activeSheetId="4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4" i="6" l="1"/>
  <c r="J13" i="6"/>
  <c r="L13" i="6" s="1"/>
  <c r="D13" i="76"/>
  <c r="D12" i="76"/>
  <c r="D14" i="76" s="1"/>
  <c r="D11" i="76"/>
  <c r="D10" i="76"/>
  <c r="D9" i="76"/>
  <c r="G115" i="76" s="1"/>
  <c r="G145" i="76"/>
  <c r="G129" i="76"/>
  <c r="G114" i="76"/>
  <c r="G113" i="76"/>
  <c r="J110" i="76"/>
  <c r="D110" i="76"/>
  <c r="E110" i="76" s="1"/>
  <c r="J54" i="76"/>
  <c r="G159" i="76"/>
  <c r="G158" i="76"/>
  <c r="J51" i="76"/>
  <c r="G156" i="76"/>
  <c r="I49" i="76"/>
  <c r="I48" i="76"/>
  <c r="G153" i="76"/>
  <c r="G152" i="76"/>
  <c r="G151" i="76"/>
  <c r="G150" i="76"/>
  <c r="G149" i="76"/>
  <c r="I42" i="76"/>
  <c r="I41" i="76"/>
  <c r="I40" i="76"/>
  <c r="J38" i="76"/>
  <c r="G143" i="76"/>
  <c r="G142" i="76"/>
  <c r="K35" i="76"/>
  <c r="I34" i="76"/>
  <c r="J33" i="76"/>
  <c r="G138" i="76"/>
  <c r="I31" i="76"/>
  <c r="L30" i="76"/>
  <c r="I29" i="76"/>
  <c r="I28" i="76"/>
  <c r="G133" i="76"/>
  <c r="G132" i="76"/>
  <c r="I25" i="76"/>
  <c r="I24" i="76"/>
  <c r="G119" i="76"/>
  <c r="I12" i="76"/>
  <c r="I11" i="76"/>
  <c r="I8" i="76"/>
  <c r="F6" i="76"/>
  <c r="E9" i="75"/>
  <c r="D9" i="75"/>
  <c r="F8" i="75"/>
  <c r="F7" i="75"/>
  <c r="F6" i="75"/>
  <c r="F5" i="75"/>
  <c r="L14" i="6"/>
  <c r="C85" i="74"/>
  <c r="C84" i="74"/>
  <c r="C83" i="74"/>
  <c r="C82" i="74"/>
  <c r="C81" i="74"/>
  <c r="C80" i="74"/>
  <c r="C79" i="74"/>
  <c r="C78" i="74"/>
  <c r="C77" i="74"/>
  <c r="C76" i="74"/>
  <c r="C75" i="74"/>
  <c r="C74" i="74"/>
  <c r="C73" i="74"/>
  <c r="C72" i="74"/>
  <c r="C71" i="74"/>
  <c r="C70" i="74"/>
  <c r="C69" i="74"/>
  <c r="C68" i="74"/>
  <c r="C67" i="74"/>
  <c r="C66" i="74"/>
  <c r="C65" i="74"/>
  <c r="C64" i="74"/>
  <c r="C63" i="74"/>
  <c r="C62" i="74"/>
  <c r="C61" i="74"/>
  <c r="C60" i="74"/>
  <c r="C59" i="74"/>
  <c r="C58" i="74"/>
  <c r="C57" i="74"/>
  <c r="C56" i="74"/>
  <c r="F55" i="74"/>
  <c r="C55" i="74"/>
  <c r="C54" i="74"/>
  <c r="C53" i="74"/>
  <c r="C52" i="74"/>
  <c r="C51" i="74"/>
  <c r="C50" i="74"/>
  <c r="C49" i="74"/>
  <c r="C48" i="74"/>
  <c r="C47" i="74"/>
  <c r="C46" i="74"/>
  <c r="C45" i="74"/>
  <c r="C44" i="74"/>
  <c r="C43" i="74"/>
  <c r="C42" i="74"/>
  <c r="C41" i="74"/>
  <c r="C40" i="74"/>
  <c r="C39" i="74"/>
  <c r="C38" i="74"/>
  <c r="C37" i="74"/>
  <c r="C36" i="74"/>
  <c r="C35" i="74"/>
  <c r="C34" i="74"/>
  <c r="C33" i="74"/>
  <c r="C32" i="74"/>
  <c r="C31" i="74"/>
  <c r="C30" i="74"/>
  <c r="C29" i="74"/>
  <c r="C28" i="74"/>
  <c r="C27" i="74"/>
  <c r="C26" i="74"/>
  <c r="C25" i="74"/>
  <c r="C24" i="74"/>
  <c r="C23" i="74"/>
  <c r="C22" i="74"/>
  <c r="C21" i="74"/>
  <c r="C20" i="74"/>
  <c r="C19" i="74"/>
  <c r="C18" i="74"/>
  <c r="C17" i="74"/>
  <c r="C16" i="74"/>
  <c r="C15" i="74"/>
  <c r="C14" i="74"/>
  <c r="C13" i="74"/>
  <c r="D12" i="74"/>
  <c r="C12" i="74"/>
  <c r="C11" i="74"/>
  <c r="C10" i="74"/>
  <c r="C9" i="74"/>
  <c r="C8" i="74"/>
  <c r="C7" i="74"/>
  <c r="D6" i="74"/>
  <c r="C6" i="74"/>
  <c r="D5" i="74"/>
  <c r="C5" i="74"/>
  <c r="C4" i="74"/>
  <c r="U18" i="69"/>
  <c r="S18" i="69"/>
  <c r="G18" i="69"/>
  <c r="R17" i="69"/>
  <c r="U17" i="69" s="1"/>
  <c r="Q17" i="69"/>
  <c r="P17" i="69"/>
  <c r="O17" i="69"/>
  <c r="N17" i="69"/>
  <c r="M17" i="69"/>
  <c r="L17" i="69"/>
  <c r="K17" i="69"/>
  <c r="J17" i="69"/>
  <c r="I17" i="69"/>
  <c r="I18" i="69" s="1"/>
  <c r="H17" i="69"/>
  <c r="F17" i="69"/>
  <c r="E17" i="69"/>
  <c r="R16" i="69"/>
  <c r="U16" i="69" s="1"/>
  <c r="Q16" i="69"/>
  <c r="P16" i="69"/>
  <c r="O16" i="69"/>
  <c r="N16" i="69"/>
  <c r="M16" i="69"/>
  <c r="L16" i="69"/>
  <c r="K16" i="69"/>
  <c r="J16" i="69"/>
  <c r="H16" i="69"/>
  <c r="F16" i="69"/>
  <c r="E16" i="69"/>
  <c r="R15" i="69"/>
  <c r="U15" i="69" s="1"/>
  <c r="Q15" i="69"/>
  <c r="P15" i="69"/>
  <c r="O15" i="69"/>
  <c r="N15" i="69"/>
  <c r="M15" i="69"/>
  <c r="L15" i="69"/>
  <c r="K15" i="69"/>
  <c r="J15" i="69"/>
  <c r="H15" i="69"/>
  <c r="F15" i="69"/>
  <c r="E15" i="69"/>
  <c r="R14" i="69"/>
  <c r="U14" i="69" s="1"/>
  <c r="Q14" i="69"/>
  <c r="P14" i="69"/>
  <c r="O14" i="69"/>
  <c r="N14" i="69"/>
  <c r="M14" i="69"/>
  <c r="L14" i="69"/>
  <c r="K14" i="69"/>
  <c r="J14" i="69"/>
  <c r="H14" i="69"/>
  <c r="F14" i="69"/>
  <c r="E14" i="69"/>
  <c r="R13" i="69"/>
  <c r="U13" i="69" s="1"/>
  <c r="Q13" i="69"/>
  <c r="P13" i="69"/>
  <c r="O13" i="69"/>
  <c r="N13" i="69"/>
  <c r="M13" i="69"/>
  <c r="L13" i="69"/>
  <c r="K13" i="69"/>
  <c r="J13" i="69"/>
  <c r="H13" i="69"/>
  <c r="F13" i="69"/>
  <c r="E13" i="69"/>
  <c r="R12" i="69"/>
  <c r="U12" i="69" s="1"/>
  <c r="P12" i="69"/>
  <c r="O12" i="69"/>
  <c r="N12" i="69"/>
  <c r="M12" i="69"/>
  <c r="L12" i="69"/>
  <c r="K12" i="69"/>
  <c r="J12" i="69"/>
  <c r="H12" i="69"/>
  <c r="H18" i="69" s="1"/>
  <c r="F12" i="69"/>
  <c r="E12" i="69"/>
  <c r="E18" i="69" s="1"/>
  <c r="A7" i="69"/>
  <c r="D22" i="76" l="1"/>
  <c r="D19" i="76"/>
  <c r="I19" i="76" s="1"/>
  <c r="D21" i="76"/>
  <c r="G127" i="76" s="1"/>
  <c r="D18" i="76"/>
  <c r="L18" i="76" s="1"/>
  <c r="D20" i="76"/>
  <c r="I20" i="76" s="1"/>
  <c r="D17" i="76"/>
  <c r="J17" i="76" s="1"/>
  <c r="D16" i="76"/>
  <c r="L16" i="76" s="1"/>
  <c r="D15" i="76"/>
  <c r="G121" i="76" s="1"/>
  <c r="G120" i="76"/>
  <c r="F13" i="76"/>
  <c r="J37" i="76"/>
  <c r="L37" i="76"/>
  <c r="G130" i="76"/>
  <c r="G131" i="76"/>
  <c r="J49" i="76"/>
  <c r="K37" i="76"/>
  <c r="I50" i="76"/>
  <c r="G136" i="76"/>
  <c r="L31" i="76"/>
  <c r="I43" i="76"/>
  <c r="G147" i="76"/>
  <c r="K34" i="76"/>
  <c r="I44" i="76"/>
  <c r="G148" i="76"/>
  <c r="J20" i="76"/>
  <c r="I13" i="76"/>
  <c r="G146" i="76"/>
  <c r="J34" i="76"/>
  <c r="G117" i="76"/>
  <c r="I17" i="76"/>
  <c r="G118" i="76"/>
  <c r="G155" i="76"/>
  <c r="J31" i="76"/>
  <c r="J50" i="76"/>
  <c r="G144" i="76"/>
  <c r="L34" i="76"/>
  <c r="K31" i="76"/>
  <c r="G137" i="76"/>
  <c r="L20" i="76"/>
  <c r="K17" i="76"/>
  <c r="I37" i="76"/>
  <c r="G160" i="76"/>
  <c r="F9" i="76"/>
  <c r="I26" i="76"/>
  <c r="I9" i="76"/>
  <c r="I51" i="76"/>
  <c r="I27" i="76"/>
  <c r="I35" i="76"/>
  <c r="I46" i="76"/>
  <c r="J21" i="76"/>
  <c r="J32" i="76"/>
  <c r="K38" i="76"/>
  <c r="K21" i="76"/>
  <c r="K32" i="76"/>
  <c r="L38" i="76"/>
  <c r="I52" i="76"/>
  <c r="G134" i="76"/>
  <c r="K18" i="76"/>
  <c r="L35" i="76"/>
  <c r="I47" i="76"/>
  <c r="J52" i="76"/>
  <c r="G135" i="76"/>
  <c r="F11" i="76"/>
  <c r="I22" i="76"/>
  <c r="I36" i="76"/>
  <c r="J22" i="76"/>
  <c r="I30" i="76"/>
  <c r="J36" i="76"/>
  <c r="J53" i="76"/>
  <c r="G122" i="76"/>
  <c r="G154" i="76"/>
  <c r="F12" i="76"/>
  <c r="I16" i="76"/>
  <c r="J19" i="76"/>
  <c r="K22" i="76"/>
  <c r="J30" i="76"/>
  <c r="K33" i="76"/>
  <c r="K36" i="76"/>
  <c r="J48" i="76"/>
  <c r="G139" i="76"/>
  <c r="K19" i="76"/>
  <c r="K30" i="76"/>
  <c r="L33" i="76"/>
  <c r="L36" i="76"/>
  <c r="I54" i="76"/>
  <c r="G124" i="76"/>
  <c r="G140" i="76"/>
  <c r="K16" i="76"/>
  <c r="L19" i="76"/>
  <c r="N33" i="76"/>
  <c r="G125" i="76"/>
  <c r="G141" i="76"/>
  <c r="G157" i="76"/>
  <c r="I14" i="76"/>
  <c r="J14" i="76"/>
  <c r="I45" i="76"/>
  <c r="K14" i="76"/>
  <c r="I38" i="76"/>
  <c r="L14" i="76"/>
  <c r="I21" i="76"/>
  <c r="I32" i="76"/>
  <c r="I18" i="76"/>
  <c r="J35" i="76"/>
  <c r="J46" i="76"/>
  <c r="J18" i="76"/>
  <c r="J15" i="76"/>
  <c r="L21" i="76"/>
  <c r="L32" i="76"/>
  <c r="J47" i="76"/>
  <c r="I33" i="76"/>
  <c r="I53" i="76"/>
  <c r="G126" i="76"/>
  <c r="F9" i="75"/>
  <c r="L18" i="69"/>
  <c r="O18" i="69"/>
  <c r="F18" i="69"/>
  <c r="K18" i="69"/>
  <c r="N18" i="69"/>
  <c r="J18" i="69"/>
  <c r="P18" i="69"/>
  <c r="M18" i="69" a="1"/>
  <c r="M18" i="69" s="1"/>
  <c r="I15" i="76" l="1"/>
  <c r="J16" i="76"/>
  <c r="K20" i="76"/>
  <c r="L15" i="76"/>
  <c r="L17" i="76"/>
  <c r="G123" i="76"/>
  <c r="K15" i="76"/>
  <c r="L22" i="76"/>
  <c r="G128" i="76"/>
  <c r="V14" i="73" l="1"/>
  <c r="F14" i="73"/>
  <c r="Q13" i="73"/>
  <c r="O13" i="73"/>
  <c r="N13" i="73"/>
  <c r="L13" i="73"/>
  <c r="K13" i="73"/>
  <c r="R13" i="73" s="1"/>
  <c r="J13" i="73"/>
  <c r="I13" i="73"/>
  <c r="H13" i="73"/>
  <c r="H14" i="73" s="1" a="1"/>
  <c r="H14" i="73" s="1"/>
  <c r="T12" i="73"/>
  <c r="T13" i="73" s="1"/>
  <c r="Q12" i="73"/>
  <c r="O12" i="73"/>
  <c r="N12" i="73"/>
  <c r="Y12" i="73" s="1"/>
  <c r="L12" i="73"/>
  <c r="K12" i="73"/>
  <c r="R12" i="73" s="1"/>
  <c r="J12" i="73"/>
  <c r="I12" i="73"/>
  <c r="H12" i="73"/>
  <c r="A7" i="73"/>
  <c r="D12" i="71"/>
  <c r="D16" i="72"/>
  <c r="C16" i="72"/>
  <c r="E15" i="72"/>
  <c r="D15" i="72"/>
  <c r="C15" i="72"/>
  <c r="E14" i="72"/>
  <c r="D14" i="72"/>
  <c r="C14" i="72"/>
  <c r="E13" i="72"/>
  <c r="D13" i="72"/>
  <c r="C13" i="72"/>
  <c r="E12" i="72"/>
  <c r="D12" i="72"/>
  <c r="C12" i="72"/>
  <c r="A7" i="72"/>
  <c r="H14" i="71"/>
  <c r="K13" i="71"/>
  <c r="I13" i="71"/>
  <c r="F13" i="71"/>
  <c r="J13" i="71" s="1"/>
  <c r="D13" i="71"/>
  <c r="K12" i="71"/>
  <c r="I12" i="71"/>
  <c r="F12" i="71"/>
  <c r="J11" i="71" s="1"/>
  <c r="A7" i="71"/>
  <c r="C17" i="72" l="1"/>
  <c r="E13" i="71"/>
  <c r="G13" i="71" s="1"/>
  <c r="Q14" i="73" a="1"/>
  <c r="Q14" i="73" s="1"/>
  <c r="I14" i="73" a="1"/>
  <c r="I14" i="73" s="1"/>
  <c r="M12" i="73"/>
  <c r="R14" i="73" a="1"/>
  <c r="R14" i="73" s="1"/>
  <c r="L14" i="73" a="1"/>
  <c r="L14" i="73" s="1"/>
  <c r="Z12" i="73"/>
  <c r="O14" i="73" a="1"/>
  <c r="O14" i="73" s="1"/>
  <c r="E12" i="73"/>
  <c r="P12" i="73"/>
  <c r="J14" i="73" a="1"/>
  <c r="J14" i="73" s="1"/>
  <c r="K14" i="73" a="1"/>
  <c r="K14" i="73" s="1"/>
  <c r="M13" i="73"/>
  <c r="M14" i="73" s="1" a="1"/>
  <c r="M14" i="73" s="1"/>
  <c r="N14" i="73" a="1"/>
  <c r="N14" i="73" s="1"/>
  <c r="D14" i="71"/>
  <c r="E16" i="72"/>
  <c r="J12" i="71"/>
  <c r="E12" i="71"/>
  <c r="E13" i="73" l="1"/>
  <c r="E14" i="73" s="1"/>
  <c r="P13" i="73"/>
  <c r="P14" i="73" s="1" a="1"/>
  <c r="P14" i="73" s="1"/>
  <c r="G12" i="73"/>
  <c r="S12" i="73"/>
  <c r="E14" i="71" a="1"/>
  <c r="E14" i="71" s="1"/>
  <c r="G12" i="71"/>
  <c r="G14" i="71" s="1"/>
  <c r="W12" i="73" l="1"/>
  <c r="U12" i="73"/>
  <c r="X12" i="73" s="1"/>
  <c r="G13" i="73"/>
  <c r="W13" i="73" s="1"/>
  <c r="D13" i="73" s="1"/>
  <c r="S13" i="73"/>
  <c r="U13" i="73" s="1"/>
  <c r="W14" i="73" l="1"/>
  <c r="D12" i="73"/>
  <c r="D14" i="73" s="1"/>
  <c r="X13" i="73"/>
  <c r="X14" i="73"/>
  <c r="S14" i="73" a="1"/>
  <c r="S14" i="73" s="1"/>
  <c r="AA12" i="73"/>
  <c r="U14" i="73"/>
  <c r="A6" i="41" l="1"/>
  <c r="A6" i="22"/>
  <c r="A6" i="68" l="1"/>
  <c r="F10" i="76"/>
  <c r="G116" i="76"/>
  <c r="I10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SoukdavanhV</author>
  </authors>
  <commentList>
    <comment ref="D7" authorId="0" shapeId="0" xr:uid="{320FB835-F335-4B35-A05F-0F67B430E93C}">
      <text>
        <r>
          <rPr>
            <b/>
            <sz val="9"/>
            <color indexed="81"/>
            <rFont val="Tahoma"/>
            <family val="2"/>
          </rPr>
          <t>SoukdavanhV:</t>
        </r>
        <r>
          <rPr>
            <sz val="9"/>
            <color indexed="81"/>
            <rFont val="Tahoma"/>
            <family val="2"/>
          </rPr>
          <t xml:space="preserve">
ບົກບັນທຶກກອງປະຊຸມຄົ້ນຄວ້າປັບປຸງເງິນເດືອນພະນັກງານ 22.12.2025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<sst xmlns="http://schemas.openxmlformats.org/spreadsheetml/2006/main" count="607" uniqueCount="363">
  <si>
    <t>ຫົວໜ້າຂະແໜງ</t>
  </si>
  <si>
    <t>ວິຊາການ</t>
  </si>
  <si>
    <t>TRI/TRE Capt</t>
  </si>
  <si>
    <t>ລ/ດ</t>
  </si>
  <si>
    <t>ຊື່ ແລະ ນາມສະກຸນ</t>
  </si>
  <si>
    <t>ເປັນເງິນ</t>
  </si>
  <si>
    <t>4/6</t>
  </si>
  <si>
    <t>4/8</t>
  </si>
  <si>
    <t>4/9</t>
  </si>
  <si>
    <t>4/14</t>
  </si>
  <si>
    <t>4/15</t>
  </si>
  <si>
    <t>ປີການ</t>
  </si>
  <si>
    <t>ເງິນອຸດໜູນຕຳແໜ່ງ</t>
  </si>
  <si>
    <t>ເງິນອຸດໜູນວິຊາການ</t>
  </si>
  <si>
    <t>ຕຳແໜ່ງວິຊາການ</t>
  </si>
  <si>
    <t>ຊມ ປົກກະຕິ</t>
  </si>
  <si>
    <t>ຊມ ເກີນ</t>
  </si>
  <si>
    <t>ຊັ້ນ/ຂັ້ນຕາມວຸດທິການສຶກສາ</t>
  </si>
  <si>
    <t>ໜ້າທີ່ຕຳແໜ່ງ ບໍລິຫານ</t>
  </si>
  <si>
    <t>ລວມ</t>
  </si>
  <si>
    <t>ຈ່າຍສົມທົບ ອປສ</t>
  </si>
  <si>
    <t xml:space="preserve">ບຸກຄົນ  </t>
  </si>
  <si>
    <t>ບໍລິສັດ</t>
  </si>
  <si>
    <t>ຮອງຫົວໜ້າພະແນກ</t>
  </si>
  <si>
    <t>Cat ''B1&amp;B2''Rating ( LVL5-6 Expert )</t>
  </si>
  <si>
    <t>ຫົວໜ້າສາຂາ</t>
  </si>
  <si>
    <t>ພະແນກຈັດຕັ້ງ ແລະ ພະນັກງານ</t>
  </si>
  <si>
    <t xml:space="preserve">ຫົວໜ້າຂະແໜງສູນຄວບຄຸມເຕັກນິກເຮືອບິນ  </t>
  </si>
  <si>
    <t>ຈຳນວນເງິນ</t>
  </si>
  <si>
    <t>ນັກບິນ</t>
  </si>
  <si>
    <t>ສາທາລະນະລັດ ປະຊາທິປະໄຕ ປະຊາຊົນລາວ</t>
  </si>
  <si>
    <t>ສັນຕິພາບ ເອກະລາດ ປະຊາທິປະໄຕ ເອກະພາບ ວັດທະນະຖາວອນ</t>
  </si>
  <si>
    <t>ກະຊວງໂຍທາທິການ ແລະ ຂົນສົ່ງ</t>
  </si>
  <si>
    <t>ບັນຊີຄິດໄລ່ເງິນເດືອນໃຫ້ພະນັກງານ ລັດວິສາຫະກິດ ການບິນລາວ</t>
  </si>
  <si>
    <t>ລັດວິສາຫະກິດ ການບິນລາວ</t>
  </si>
  <si>
    <t>ຫັກໜີ້ອຶ່ນໆ ແລະ ເຂົ້າຄັງສັງຄົມສົງເຄາະ</t>
  </si>
  <si>
    <t>ບັນຊີຄິດໄລ່ເງິນເດືອນໃຫ້ພະນັກງານ ພາກສ່ວນ ຈຸບິນ ລັດວິສາຫະກິດ ການບິນລາວ</t>
  </si>
  <si>
    <t>ເງິນເດືອນພື້ນຖານ</t>
  </si>
  <si>
    <t>ເງິນອຸດໜູນປີການ</t>
  </si>
  <si>
    <t>ເງິນແຮງງານ ມາວຽກ</t>
  </si>
  <si>
    <t>ເງິນແຮງງານເຮັດວຽກເພີ້ມໂມງ</t>
  </si>
  <si>
    <t xml:space="preserve"> ເງິນອຸດໜູນອື່ນໆ</t>
  </si>
  <si>
    <t>ຈຳນວນເງິນລາຍຮັບທັງໝົດ</t>
  </si>
  <si>
    <t>ຈຳນວນເງິນຫຼັງຫັກ ອປສ ທີຖືກເສຍອາກອນ</t>
  </si>
  <si>
    <t>ຈຳນວນອາກອນທີ່ຕ້ອງມອບ</t>
  </si>
  <si>
    <t xml:space="preserve">ຈຳນວນລາຍຮັບ  ຫຼັງຫັກອາກອນ </t>
  </si>
  <si>
    <t>ຈຳນວນລາຍຮັບສຸດທິ</t>
  </si>
  <si>
    <t>ຈໍານວນເງິນຫຼັງຫັກ ອປສ ທີຖືກເສຍອາກອນ</t>
  </si>
  <si>
    <t>ຈໍານວນອາກອນທີ່ຕ້ອງມອບ</t>
  </si>
  <si>
    <t>ພະແນກວິສາວະກຳ ແລະ ສ້ອມບຳລຸງເຮືອບິນ (ພາກສ່ວນນ່າຍຊ່າງ)</t>
  </si>
  <si>
    <t>ບັນຊີຄິດໄລ່ເງິນເດືອນໃຫ້ພະນັກງານ ພະແນກວິສາວະກຳ ແລະ ສ້ອມບຳລຸງເຮືອບິນ ພາກສ່ວນ ນ່າຍຊ່າງ ລັດວິສາຫະກິດ ການບິນລາວ</t>
  </si>
  <si>
    <t>ຊມ OT</t>
  </si>
  <si>
    <t>ຊມ  ບິນເພີ່ມ (OT)</t>
  </si>
  <si>
    <t>ຫັກເງິນຈ່າຍລວງໜ້າ</t>
  </si>
  <si>
    <t>ເງິນນຳ້ມັນ</t>
  </si>
  <si>
    <t>ອັດຕາ/ລິດ</t>
  </si>
  <si>
    <t>ເງິນນໍ້າມັນ</t>
  </si>
  <si>
    <t>ຂັ້ນ 6. ວິຊາການລະດັບຊໍານານງານ 3  H1</t>
  </si>
  <si>
    <t>ຂັ້ນ 6. ວິຊາການລະດັບຊໍານານງານ 3  H2</t>
  </si>
  <si>
    <t>ຂັ້ນ 4. ວິຊາການລະດັບຊໍານານງານ 1 H1</t>
  </si>
  <si>
    <t>DCP on Type A (A320)</t>
  </si>
  <si>
    <t>13=11-12</t>
  </si>
  <si>
    <t>9=8x5.5%</t>
  </si>
  <si>
    <t>10=8x6%</t>
  </si>
  <si>
    <t>11=8-9</t>
  </si>
  <si>
    <t>16=13-14-15</t>
  </si>
  <si>
    <t>ໜ້າທີ່ຮັບຜິດຊອບ</t>
  </si>
  <si>
    <t>ເງີນໄດ້ຮັບຕົວຈິງ</t>
  </si>
  <si>
    <r>
      <t xml:space="preserve">ຊົ່ວໂມງປົກກະຕິ </t>
    </r>
    <r>
      <rPr>
        <b/>
        <sz val="10"/>
        <rFont val="Phetsarath OT"/>
      </rPr>
      <t>(ຈຳນວນຊົ່ວໂມງເຮັດວຽກຕົວຈິງ)</t>
    </r>
  </si>
  <si>
    <t>ຈໍານວນຊົົ່ວ ໂມງເກີນ</t>
  </si>
  <si>
    <t>ຄິດເປັນເງິນເກີນ</t>
  </si>
  <si>
    <t>ລວມເງິນທັງໝົດເປັນເງິນກີບ</t>
  </si>
  <si>
    <t>ຫັກເຂົ້າປະກັນສັງຄົມ</t>
  </si>
  <si>
    <t>ລາຍຮັບຫຼັງຫັກອາກອນ</t>
  </si>
  <si>
    <t>ຫັກໜີ້ຕ່າງໆ</t>
  </si>
  <si>
    <t>ເປັນເງິນກີບ(LAK)</t>
  </si>
  <si>
    <t xml:space="preserve">ເປັນເງິນໂດລາ(USD) </t>
  </si>
  <si>
    <t xml:space="preserve">ບັນຊີຄິດໄລ່ເງິນເດືອນໃຫ້ ນັກບິນ,ຈຸບິນ ແລະ ພະນັກງານສັນຍາຈ້າງຊ່ຽວຊານ ຄົນຕ່າງປະເທດ </t>
  </si>
  <si>
    <t>ຊມ ບິນ ຕາມກຳນົດ</t>
  </si>
  <si>
    <t>ເງິນແຮງງານຕາມຊົ່ວໂມງບິນ</t>
  </si>
  <si>
    <t>ເງິນດັດແກ້ເພີ່ມ ແລະ ເງິນອຸດໜູນອື່ນໆ</t>
  </si>
  <si>
    <t>ດັດແກ້ເພີ່ມຄືນຈາກເງິນເດືອນ</t>
  </si>
  <si>
    <t>10=1+2+3+4+5+6+7+8+9</t>
  </si>
  <si>
    <t>15= 7+8</t>
  </si>
  <si>
    <t>7=1+2+3+4+5+6</t>
  </si>
  <si>
    <t>8=7x 5.5%</t>
  </si>
  <si>
    <t>9=7x6%</t>
  </si>
  <si>
    <t>10=7-8</t>
  </si>
  <si>
    <t>12=10-11</t>
  </si>
  <si>
    <t>14=4+5</t>
  </si>
  <si>
    <t>16=12-13-14+15</t>
  </si>
  <si>
    <t>11=10x 5.5%</t>
  </si>
  <si>
    <t>12=10x6%</t>
  </si>
  <si>
    <t>13=9-10</t>
  </si>
  <si>
    <t>15=13-14</t>
  </si>
  <si>
    <t>17=8+9</t>
  </si>
  <si>
    <t>19=15-16-17+18</t>
  </si>
  <si>
    <t>12=10x 6%</t>
  </si>
  <si>
    <t>13=10-11</t>
  </si>
  <si>
    <t>17=7+8</t>
  </si>
  <si>
    <t>ຊມ ປົກກະຕິ ຕົວຈິງ</t>
  </si>
  <si>
    <t xml:space="preserve">ເງິນເດືອນພຶ້ນຖານ ເປັນເງິນກີບ ອັດຕາແລກປ່ຽນ </t>
  </si>
  <si>
    <t>ຫົວໜ້າຂະແໜງສ້ອມບຳລຸງພາກສະໜາມສູນໃຫຍ່ VTE A320</t>
  </si>
  <si>
    <t>5=1+2+3+4</t>
  </si>
  <si>
    <t>6=5*5.5%</t>
  </si>
  <si>
    <t>7=5*6%</t>
  </si>
  <si>
    <t>8=5-6</t>
  </si>
  <si>
    <t>10=8-9</t>
  </si>
  <si>
    <t>13=10-11-12</t>
  </si>
  <si>
    <t>ຈຳນວນປີການ</t>
  </si>
  <si>
    <t>ຕໍາແໜ່ງ</t>
  </si>
  <si>
    <t>ແຮງງານ ມາວຽກ</t>
  </si>
  <si>
    <t xml:space="preserve">ຊົ່ວໂມງ ປົກກະຕິ </t>
  </si>
  <si>
    <t>ຊົ່ວໂມງ ເກີນ</t>
  </si>
  <si>
    <t>ນຳ້ມັນ</t>
  </si>
  <si>
    <t xml:space="preserve"> ອຸດໜູນອື່ນໆ</t>
  </si>
  <si>
    <t>ລາຍຮັບທັງໝົດ</t>
  </si>
  <si>
    <t>ຫຼັງຫັກ ອປສ ທີຖືກເສຍອາກອນ</t>
  </si>
  <si>
    <t xml:space="preserve">ລາຍຮັບ  ຫຼັງຫັກອາກອນ </t>
  </si>
  <si>
    <t>ເງິນອຸດໜູນ ອື່ນໆ</t>
  </si>
  <si>
    <t>ເງິນນ້ຳມັນ</t>
  </si>
  <si>
    <t>ເງິນນະໂຍບາຍ ເຄື່ອງແບບພະນັກງານ ປະຈໍາປີ2026</t>
  </si>
  <si>
    <t>ນະໂຍບາຍ ເຄື່ອງແບບພະນັກງານ ປະຈໍາປີ2026</t>
  </si>
  <si>
    <t>Commercail Specailist</t>
  </si>
  <si>
    <t>ປະຈຳເດືອນ ສິງຫາ (08) 2026</t>
  </si>
  <si>
    <t xml:space="preserve">ທ່ານ ກ </t>
  </si>
  <si>
    <t xml:space="preserve">ທ່ານ ຂ </t>
  </si>
  <si>
    <t>ຕົວຢ່າງ ໂຄງເງິນເດືອນ</t>
  </si>
  <si>
    <t>ທ່ານ ຄ</t>
  </si>
  <si>
    <t>ທ່ານ ງ</t>
  </si>
  <si>
    <t>ທ. ຈ</t>
  </si>
  <si>
    <t>ທ. ສ</t>
  </si>
  <si>
    <t xml:space="preserve"> Maintenance specialist</t>
  </si>
  <si>
    <t>Mr. A</t>
  </si>
  <si>
    <t>Mr. B</t>
  </si>
  <si>
    <t>30$/h</t>
  </si>
  <si>
    <t>20$/h</t>
  </si>
  <si>
    <t>ພະນັກງານປະຈຳການຢູ່ຕ່າງປະເທດ (ຄົນລາວ)</t>
  </si>
  <si>
    <t>ທ່ານ ຊ</t>
  </si>
  <si>
    <t>ທ່ານ ຍ</t>
  </si>
  <si>
    <t>ຫົວໜ້າ ສາຂາ</t>
  </si>
  <si>
    <t>ຜູ້ຊ່ວຍຫົວໜ້າສາຂາ</t>
  </si>
  <si>
    <t>Mr. C</t>
  </si>
  <si>
    <t>Mrs. D</t>
  </si>
  <si>
    <t>ພະນັກງານທ້ອງຖິ່ນ</t>
  </si>
  <si>
    <t>ເລກທີ __________/ກບລ-ຈພ</t>
  </si>
  <si>
    <t>ນະຄອນຫຼວງວຽງຈັນ, ວັນທີ_____________</t>
  </si>
  <si>
    <t>ສັງລວມບັນຊີເງິນເດືອນຂອງພະນັກງານສາຂາຕ່າງປະເທດ</t>
  </si>
  <si>
    <t xml:space="preserve">ເງິນເດືອນພື້ນຖານ </t>
  </si>
  <si>
    <t>ເງິນເດືອນ</t>
  </si>
  <si>
    <t>ເງິນເຮັດວຽກເພີ່ມໂມງ</t>
  </si>
  <si>
    <t>ເງິນດັດແກ້ເພີ່ມ ແລະ ເງິນອຸດ ໜູນອື່ນໆ</t>
  </si>
  <si>
    <t>ລວມເງິນທັງໝົດ</t>
  </si>
  <si>
    <t>ຫັກເຂົ້້າປະກັນສັງຄົມ</t>
  </si>
  <si>
    <t>ຫັກອາກອນເງິນເດືອນ</t>
  </si>
  <si>
    <t>ລາຍຮັບຫລັງຫັກປະກັນສັງຄົມ ແລະ ອາກອນເງິນເດືອນ</t>
  </si>
  <si>
    <t>ຫັກເຂົ້າຄັງສົງເຄາະ</t>
  </si>
  <si>
    <t>ລາຍຮັບຈາກເງິນເດືອນ</t>
  </si>
  <si>
    <t>ອັດຕາແລກປ່ຽນ 21.08.2026</t>
  </si>
  <si>
    <t>ເປັນເງິນຕາມສະກຸນ</t>
  </si>
  <si>
    <t>ສະກຸນເງິນ</t>
  </si>
  <si>
    <t>ສາຂາ ບາງກອກ</t>
  </si>
  <si>
    <t>THB</t>
  </si>
  <si>
    <t>ສາຂາ ຮ່າໂນ່ຍ</t>
  </si>
  <si>
    <t>USD</t>
  </si>
  <si>
    <t>ສາຂາ ເກົາຫຼີໃຕ້</t>
  </si>
  <si>
    <t>CNY</t>
  </si>
  <si>
    <t>ເລກທີ     __________      /ກບລ-ຈພ</t>
  </si>
  <si>
    <t>ບັນຊີຈ່າຍເງິນເດືອນ ຂອງສາຂາບາງກອກ</t>
  </si>
  <si>
    <t>ເງິນເດືອນ ແລະ ເງິນເຄື່ອນໄຫວ</t>
  </si>
  <si>
    <t>ເງິນເດືອນພື້ນຖານ ທີຄິດໄລ່</t>
  </si>
  <si>
    <t>ເງິນແຮງງານເຮັດວຽກເພີ່ມໂມງ</t>
  </si>
  <si>
    <t>ເງິນອຸດໜູນອື່ນໆ</t>
  </si>
  <si>
    <t>ອາກອນເງິນເດືອນ</t>
  </si>
  <si>
    <t>ຫັກລາຍຈ່າຍລວງໜ້າ</t>
  </si>
  <si>
    <t>ອັດຕາແລກປຽ່ນ</t>
  </si>
  <si>
    <t>ລາຍເຊັນ ແລະ ຊື່ແຈ້ງ</t>
  </si>
  <si>
    <t>ລາຍຈ່າຍທັງໝົດ</t>
  </si>
  <si>
    <t>ລວມລາຍຮັບສຸດທິໃນເດືອນ</t>
  </si>
  <si>
    <t>ເງິນເຄື່ອນໄຫວ</t>
  </si>
  <si>
    <t>ລວມລາຍຮັບ</t>
  </si>
  <si>
    <t>ຊົ່ວໂມງ</t>
  </si>
  <si>
    <t>ຢູ່ສາຂາ</t>
  </si>
  <si>
    <t>ໃນເດືອນ</t>
  </si>
  <si>
    <t>ກີບ</t>
  </si>
  <si>
    <t>ບາດ</t>
  </si>
  <si>
    <t>ເລກທີ    __________   /ກບລ-ຈພ</t>
  </si>
  <si>
    <t>ບັນຊີຈ່າຍເງິນເຄື່ອນໄຫວ ຂອງສາຂາບາງກອກ</t>
  </si>
  <si>
    <t>ເງິນເຄື່ອນໄຫວຢູ່ສາຂາ</t>
  </si>
  <si>
    <t>ເປັນເງິນຕາມສະກຸນ THB</t>
  </si>
  <si>
    <t xml:space="preserve">            ເລກທີ __________/ກບລ-ຈພ</t>
  </si>
  <si>
    <t>ສັງລວມບັນຊີຈ່າຍເງິນເຄື່ອນໄຫວ ຂອງສາຂາຕ່າງປະເທດ</t>
  </si>
  <si>
    <t>ອັດຕາແລກປ່ຽນ</t>
  </si>
  <si>
    <t xml:space="preserve">ເປັນເງິນຕາມສະກຸນ </t>
  </si>
  <si>
    <t>ສາຂາບາງກອກ</t>
  </si>
  <si>
    <t>ສາຂາຮ່າໂນ່ຍ</t>
  </si>
  <si>
    <t xml:space="preserve">ສາຂາຄຸນມິງ </t>
  </si>
  <si>
    <t>ສາຂາກວາງໂຈ</t>
  </si>
  <si>
    <t>ສາຂາ ໂຮຈີມິງ</t>
  </si>
  <si>
    <t xml:space="preserve">ສາຂາ ຄຸນມິງ </t>
  </si>
  <si>
    <t>ສາຂາ ກວາງໂຈ</t>
  </si>
  <si>
    <t>ເງິນເດືອນຕາມຊັ້ນ/ຂັ້ນ</t>
  </si>
  <si>
    <t>ຊົ່ວໂມງເຮັດວຽກ</t>
  </si>
  <si>
    <t>ຊັ້ນ/ຂັ້ນ</t>
  </si>
  <si>
    <t>ດັດສະນີ</t>
  </si>
  <si>
    <t>1/1</t>
  </si>
  <si>
    <t>1/2</t>
  </si>
  <si>
    <t>1/3</t>
  </si>
  <si>
    <t>1/4</t>
  </si>
  <si>
    <t>1/5</t>
  </si>
  <si>
    <t>1/6</t>
  </si>
  <si>
    <t>1/7</t>
  </si>
  <si>
    <t>1/8</t>
  </si>
  <si>
    <t>1/9</t>
  </si>
  <si>
    <t>1/10</t>
  </si>
  <si>
    <t>1/11</t>
  </si>
  <si>
    <t>1/12</t>
  </si>
  <si>
    <t>1/13</t>
  </si>
  <si>
    <t>1/14</t>
  </si>
  <si>
    <t>1/15</t>
  </si>
  <si>
    <t>2/1</t>
  </si>
  <si>
    <t>2/2</t>
  </si>
  <si>
    <t>2/3</t>
  </si>
  <si>
    <t>2/4</t>
  </si>
  <si>
    <t>2/5</t>
  </si>
  <si>
    <t>2/6</t>
  </si>
  <si>
    <t>2/7</t>
  </si>
  <si>
    <t>2/8</t>
  </si>
  <si>
    <t>2/9</t>
  </si>
  <si>
    <t>2/10</t>
  </si>
  <si>
    <t>2/11</t>
  </si>
  <si>
    <t>2/12</t>
  </si>
  <si>
    <t>2/13</t>
  </si>
  <si>
    <t>2/14</t>
  </si>
  <si>
    <t>2/15</t>
  </si>
  <si>
    <t>3/1</t>
  </si>
  <si>
    <t>3/2</t>
  </si>
  <si>
    <t>3/3</t>
  </si>
  <si>
    <t>3/4</t>
  </si>
  <si>
    <t>3/5</t>
  </si>
  <si>
    <t>3/6</t>
  </si>
  <si>
    <t>3/7</t>
  </si>
  <si>
    <t>3/8</t>
  </si>
  <si>
    <t>3/9</t>
  </si>
  <si>
    <t>3/10</t>
  </si>
  <si>
    <t>3/11</t>
  </si>
  <si>
    <t>3/12</t>
  </si>
  <si>
    <t>3/13</t>
  </si>
  <si>
    <t>3/14</t>
  </si>
  <si>
    <t>3/15</t>
  </si>
  <si>
    <t>4/1</t>
  </si>
  <si>
    <t>4/2</t>
  </si>
  <si>
    <t>4/3</t>
  </si>
  <si>
    <t>4/4</t>
  </si>
  <si>
    <t>4/5</t>
  </si>
  <si>
    <t>4/7</t>
  </si>
  <si>
    <t>4/10</t>
  </si>
  <si>
    <t>4/11</t>
  </si>
  <si>
    <t>4/12</t>
  </si>
  <si>
    <t>4/13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</si>
  <si>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</si>
  <si>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</si>
  <si>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</si>
  <si>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</si>
  <si>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</si>
  <si>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</si>
  <si>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</si>
  <si>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</si>
  <si>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</si>
  <si>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</si>
  <si>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5/11</t>
  </si>
  <si>
    <t>5/12</t>
  </si>
  <si>
    <t>5/13</t>
  </si>
  <si>
    <t>5/14</t>
  </si>
  <si>
    <t>5/15</t>
  </si>
  <si>
    <t>6/1</t>
  </si>
  <si>
    <t>6/2</t>
  </si>
  <si>
    <t>6/3</t>
  </si>
  <si>
    <t>6/4</t>
  </si>
  <si>
    <t>6/5</t>
  </si>
  <si>
    <t>6/6</t>
  </si>
  <si>
    <t>6/7</t>
  </si>
  <si>
    <t>ປະຕິບັດເງິນອຸດໜູນປີການ ເປັນ 4 ໄລຍະ</t>
  </si>
  <si>
    <t>ໄລຍະ</t>
  </si>
  <si>
    <t>ມູນຄ່າ</t>
  </si>
  <si>
    <t>ປີການເຮັດວຽກ</t>
  </si>
  <si>
    <t>1-5</t>
  </si>
  <si>
    <t>6-15</t>
  </si>
  <si>
    <t>16-25</t>
  </si>
  <si>
    <t>&gt;=26</t>
  </si>
  <si>
    <t>ນະຄອນຫຼວງວຽງຈັັນ, ວັນທີ ......................................</t>
  </si>
  <si>
    <t>ຕາຕະລາງກຳນົດ ເງິນວິຊາການ ແລະ ອັດຕາຄ່າເງິນແຮງງານ ຂອງພະນັກງານ ພາກພື້ນດິນ ລັດວິສາຫະກິດການບິນລາວ</t>
  </si>
  <si>
    <t>ລະດັບຄວາມຊຳນານງານ</t>
  </si>
  <si>
    <t>ການກໍານົດລະດັບວິຊາການຄູ່ ຂະໜານ</t>
  </si>
  <si>
    <t>ສັດສ່ວນຕາມ</t>
  </si>
  <si>
    <t>usd</t>
  </si>
  <si>
    <t>ອັດຕາຄູນແຮງງານເພີ່ມໂມງຕໍ່ ຊມ</t>
  </si>
  <si>
    <t>ຊົ່ວໂມງພັນທະ</t>
  </si>
  <si>
    <t>ອັດຕາຄູນເງິນແຮງ</t>
  </si>
  <si>
    <t>ເປີເຊັນ</t>
  </si>
  <si>
    <t>ຕໍ່ຊົ່ວໂມງ</t>
  </si>
  <si>
    <t>I</t>
  </si>
  <si>
    <t>ຄະອໍານວຍການ ແລະ ຄະນະພະແນກ</t>
  </si>
  <si>
    <t>ຈຳນວນເງິນຜູ້ທີ່ທຽບເປີເຊັນ</t>
  </si>
  <si>
    <t>ຜູ້ອໍານວຍການໃຫຍ່</t>
  </si>
  <si>
    <t>ຮອງຜູ້ອໍານວຍການໃຫຍ່</t>
  </si>
  <si>
    <t>ຫົວໜ້າພະແນກການ ແລະ ຜູ້ຊ່ວຍຜູ້ອໍານວຍການ</t>
  </si>
  <si>
    <t xml:space="preserve"> ຮອງພະແນກ ແລະ ທີ່ປຶກສາຜູ້ອໍານວຍການ </t>
  </si>
  <si>
    <t>ຂັ້ນ11. ວິຊາການລະດັບອາຈານອາວຸໂສ</t>
  </si>
  <si>
    <t>ຂັ້ນ10. ວິຊາການລະດັບອາຈານ</t>
  </si>
  <si>
    <t>ຂັ້ນ 9. ວິຊາການລະດັບປະສົບການ 3 H1</t>
  </si>
  <si>
    <t xml:space="preserve">52% ຂອງລະດັບອາຈານອາວຸໂສ </t>
  </si>
  <si>
    <t>ຂັ້ນ 8. ວິຊາການລະດັບປະສົບການ 2 H1</t>
  </si>
  <si>
    <t>ອາຈານສອນ ຂັ້ນກົມການບິນ (License)/ QA Auditor</t>
  </si>
  <si>
    <t xml:space="preserve">ຂັ້ນ 7. ວິຊາການລະດັບປະສົບການ 1 ປີການ H1 </t>
  </si>
  <si>
    <t>ອາຈານສອນ ຂັ້ນຜູ້ອຳນວຍການ ( Certificate)</t>
  </si>
  <si>
    <t>ຂັ້ນ 5. ວິຊາການລະດັບຊໍານານງານ 2 H1</t>
  </si>
  <si>
    <t xml:space="preserve">ຄະນະຂະແໜງ ຂັ້ນເລີ່ມຕົ້ນ </t>
  </si>
  <si>
    <t>ຂັ້ນ 3. ວິຊາການລະດັບສູງ H1</t>
  </si>
  <si>
    <t>ຂັ້ນ 2. ວິຊາການລະດັບກາງ H1</t>
  </si>
  <si>
    <t>ຂັ້ນ 1. ວິຊາການ ພື້ນຖານ H1</t>
  </si>
  <si>
    <t>ກຸ່ມ 2 (head office group II )</t>
  </si>
  <si>
    <t>ຂັ້ນ15. ອາວຸໂສ ລະດັບ 3  H2</t>
  </si>
  <si>
    <t>95%ຂອງກຸ່ມ1 ຂັ້ນ15</t>
  </si>
  <si>
    <t>ຂັ້ນ14. ອາວຸໂສ ລະດັບ 2  H2</t>
  </si>
  <si>
    <t>ຂັ້ນ13. ອາວຸໂສ ລະດັບ 1  H2</t>
  </si>
  <si>
    <t>ຂັ້ນ12. ຊຽ່ວຊານ ລະດັບ 3  H2</t>
  </si>
  <si>
    <t>ຂັ້ນ11. ຊຽ່ວຊານ ລະດັບ 2 H2</t>
  </si>
  <si>
    <t>ຂັ້ນ10. ຊຽ່ວຊານ ລະດັບ 1  H2</t>
  </si>
  <si>
    <t>ຂັ້ນ 9. ວິຊາການລະດັບປະສົບການ 3 H2</t>
  </si>
  <si>
    <t>95%ຂອງກຸ່ມ1 ຂັ້ນ9</t>
  </si>
  <si>
    <t>ຂັ້ນ 8. ວິຊາການລະດັບປະສົບການ 2 H2</t>
  </si>
  <si>
    <t>ອາຈານສອນ ຂັ້ນກົມການບິນ (License)</t>
  </si>
  <si>
    <t>ຂັ້ນ 7. ວິຊາການລະດັບປະສົບການ 1  H2</t>
  </si>
  <si>
    <t>ຂັ້ນ 5. ວິຊາການລະດັບຊໍານານງານ 2 H2</t>
  </si>
  <si>
    <t>ຂັ້ນ 4. ວິຊາການລະດັບຊໍານານງານ 1 H2</t>
  </si>
  <si>
    <t>ຂັ້ນ 3. ວິຊາການລະດັບສູງ H2</t>
  </si>
  <si>
    <t>ຂັ້ນ 2. ວິຊາການລະດັບກາງ H2</t>
  </si>
  <si>
    <t>ຂັ້ນ 1. ວິຊາການ ພື້ນຖານ H2</t>
  </si>
  <si>
    <t>ກຸ່ມ 3 (head office group III )</t>
  </si>
  <si>
    <t>ຂັ້ນ15. ອາວຸໂສ ລະດັບ 3 H3</t>
  </si>
  <si>
    <t>80%ຂອງກຸ່ມ2 ຂັ້ນ 15</t>
  </si>
  <si>
    <t>ຂັ້ນ14. ອາວຸໂສ ລະດັບ 2 H3</t>
  </si>
  <si>
    <t>ຂັ້ນ13. ອາວຸໂສ ລະດັບ 1  H3</t>
  </si>
  <si>
    <t>ຂັ້ນ12. ຊຽ່ວຊານ ລະດັບ 3 H3</t>
  </si>
  <si>
    <t>ຂັ້ນ11. ຊຽ່ວຊານ ລະດັບ 2 H3</t>
  </si>
  <si>
    <t>ຂັ້ນ10. ຊຽ່ວຊານ ລະດັບ 1  H3</t>
  </si>
  <si>
    <t>ຂັ້ນ 9. ວິຊາການລະດັບປະສົບການ 3 H3</t>
  </si>
  <si>
    <t>80%ຂອງກຸ່ມ2 ຂັ້ນ 9</t>
  </si>
  <si>
    <t>ຂັ້ນ 8. ວິຊາການລະດັບປະສົບການ 2 H3</t>
  </si>
  <si>
    <t>ຂັ້ນ 7. ວິຊາການລະດັບປະສົບການ 1 H3</t>
  </si>
  <si>
    <t>ຂັ້ນ 6. ວິຊາການລະດັບຊໍານານງານ 3  H3</t>
  </si>
  <si>
    <t>ຂັ້ນ 5. ວິຊາການລະດັບຊໍານານງານ 2 H3</t>
  </si>
  <si>
    <t>ຂັ້ນ 4. ວິຊາການລະດັບຊໍານານງານ 1 H3</t>
  </si>
  <si>
    <t>ຂັ້ນ 3. ວິຊາການລະດັບສູງ H3</t>
  </si>
  <si>
    <t>ຂັ້ນ 2. ວິຊາການລະດັບກາງ H3</t>
  </si>
  <si>
    <t>ຂັ້ນ 1. ວິຊາການ ພື້ນຖານ H3</t>
  </si>
  <si>
    <t xml:space="preserve">                              ຜູ້ອຳນວຍການໃຫຍ່</t>
  </si>
  <si>
    <t>ຕົວຢ່າງ ໂຄງຂັ້ນເງິນເດືອນ ພາກສ່ວນ ສຳນັກງານໃຫຍ່</t>
  </si>
  <si>
    <t xml:space="preserve">ຂັ້ນ15. ຜູ້ອໍານວຍການໃຫຍ່ </t>
  </si>
  <si>
    <t>ຂັ້ນ14. ຮອງຜູ້ອໍານວຍການໃຫຍ່</t>
  </si>
  <si>
    <t>ຂັ້ນ13. ຫົວໜ້າພະແນກການ ແລະ ຜູ້ຊ່ວຍຜູ້ອໍານວຍການ</t>
  </si>
  <si>
    <t xml:space="preserve">ຂັ້ນ12. ຮອງພະແນກ ແລະ ທີ່ປຶກສາຜູ້ອໍານວຍການ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</si>
</sst>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_);\(0\)"/>
    <numFmt numFmtId="165" formatCode="_(* #,##0_);_(* \(#,##0\);_(* &quot;-&quot;??_);_(@_)"/>
    <numFmt numFmtId="166" formatCode="_ * #,##0_)_₭_ ;_ * \(#,##0\)_₭_ ;_ * &quot;-&quot;??_)_₭_ ;_ @_ "/>
    <numFmt numFmtId="167" formatCode="_ * #,##0.00_)_₭_ ;_ * \(#,##0.00\)_₭_ ;_ * &quot;-&quot;??_)_₭_ ;_ @_ "/>
    <numFmt numFmtId="168" formatCode="0.0%"/>
  </numFmts>
  <fonts count="56" x14ac:knownFonts="1">
    <font>
      <sz val="10"/>
      <color indexed="8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name val="Saysettha OT"/>
      <family val="2"/>
    </font>
    <font>
      <sz val="12"/>
      <name val="Phetsarath OT"/>
    </font>
    <font>
      <b/>
      <sz val="12"/>
      <name val="Phetsarath OT"/>
    </font>
    <font>
      <sz val="8"/>
      <name val="MS Sans Serif"/>
      <family val="2"/>
      <charset val="222"/>
    </font>
    <font>
      <b/>
      <sz val="12"/>
      <name val="Saysettha OT"/>
      <family val="2"/>
    </font>
    <font>
      <b/>
      <sz val="10"/>
      <name val="Phetsarath OT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name val="MS Sans Serif"/>
      <family val="2"/>
    </font>
    <font>
      <sz val="10"/>
      <name val="Phetsarath OT"/>
    </font>
    <font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3"/>
      <color indexed="8"/>
      <name val="AP_Lao1"/>
      <family val="1"/>
    </font>
    <font>
      <sz val="12"/>
      <color rgb="FFFF0000"/>
      <name val="Phetsarath OT"/>
    </font>
    <font>
      <b/>
      <sz val="12"/>
      <color rgb="FFFF0000"/>
      <name val="Saysettha OT"/>
      <family val="2"/>
    </font>
    <font>
      <sz val="12"/>
      <color rgb="FFFF0000"/>
      <name val="Saysettha OT"/>
      <family val="2"/>
    </font>
    <font>
      <b/>
      <sz val="12.5"/>
      <name val="Phetsarath OT"/>
    </font>
    <font>
      <sz val="12.5"/>
      <name val="Phetsarath OT"/>
    </font>
    <font>
      <sz val="12.5"/>
      <name val="Saysettha 95"/>
      <family val="2"/>
    </font>
    <font>
      <b/>
      <u/>
      <sz val="12.5"/>
      <name val="Phetsarath OT"/>
    </font>
    <font>
      <b/>
      <sz val="12.5"/>
      <color rgb="FFFF0000"/>
      <name val="Phetsarath OT"/>
    </font>
    <font>
      <b/>
      <sz val="12"/>
      <color indexed="8"/>
      <name val="Phetsarath OT"/>
    </font>
    <font>
      <sz val="12"/>
      <color indexed="8"/>
      <name val="Phetsarath OT"/>
    </font>
    <font>
      <sz val="12"/>
      <color indexed="8"/>
      <name val="Saysettha 95"/>
      <family val="2"/>
    </font>
    <font>
      <b/>
      <u/>
      <sz val="14"/>
      <color indexed="8"/>
      <name val="Phetsarath OT"/>
    </font>
    <font>
      <sz val="12"/>
      <color indexed="9"/>
      <name val="Phetsarath OT"/>
    </font>
    <font>
      <b/>
      <sz val="12"/>
      <color rgb="FFFF0000"/>
      <name val="Phetsarath OT"/>
    </font>
    <font>
      <b/>
      <sz val="12"/>
      <color rgb="FF000000"/>
      <name val="Phetsarath OT"/>
    </font>
    <font>
      <b/>
      <u/>
      <sz val="12"/>
      <color indexed="8"/>
      <name val="Phetsarath OT"/>
    </font>
    <font>
      <sz val="12"/>
      <name val="Saysettha 95"/>
      <family val="2"/>
    </font>
    <font>
      <b/>
      <u/>
      <sz val="14"/>
      <name val="Phetsarath OT"/>
    </font>
    <font>
      <sz val="12"/>
      <color theme="1"/>
      <name val="Phetsarath OT"/>
    </font>
    <font>
      <b/>
      <sz val="12"/>
      <color theme="1"/>
      <name val="Phetsarath OT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Phetsarath OT"/>
    </font>
    <font>
      <b/>
      <sz val="14"/>
      <color theme="1"/>
      <name val="Phetsarath OT"/>
    </font>
    <font>
      <b/>
      <sz val="14"/>
      <name val="Phetsarath OT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90">
    <xf numFmtId="0" fontId="0" fillId="0" borderId="0">
      <alignment vertical="top"/>
    </xf>
    <xf numFmtId="43" fontId="11" fillId="0" borderId="0" applyFont="0" applyFill="0" applyBorder="0" applyAlignment="0" applyProtection="0">
      <alignment vertical="top"/>
    </xf>
    <xf numFmtId="0" fontId="15" fillId="4" borderId="11" applyNumberFormat="0" applyFont="0" applyBorder="0" applyAlignment="0" applyProtection="0">
      <alignment horizontal="center" vertical="top"/>
      <protection locked="0"/>
    </xf>
    <xf numFmtId="0" fontId="19" fillId="0" borderId="0"/>
    <xf numFmtId="0" fontId="20" fillId="0" borderId="0"/>
    <xf numFmtId="43" fontId="19" fillId="0" borderId="0" applyFont="0" applyFill="0" applyBorder="0" applyAlignment="0" applyProtection="0"/>
    <xf numFmtId="0" fontId="21" fillId="4" borderId="11" applyNumberFormat="0" applyFont="0" applyBorder="0" applyAlignment="0" applyProtection="0">
      <alignment horizontal="center" vertical="top"/>
      <protection locked="0"/>
    </xf>
    <xf numFmtId="0" fontId="19" fillId="0" borderId="0"/>
    <xf numFmtId="0" fontId="11" fillId="0" borderId="0">
      <alignment vertical="top"/>
    </xf>
    <xf numFmtId="0" fontId="26" fillId="0" borderId="0"/>
    <xf numFmtId="167" fontId="19" fillId="0" borderId="0" applyFont="0" applyFill="0" applyBorder="0" applyAlignment="0" applyProtection="0"/>
    <xf numFmtId="167" fontId="28" fillId="0" borderId="0" applyFont="0" applyFill="0" applyBorder="0" applyAlignment="0" applyProtection="0"/>
    <xf numFmtId="167" fontId="15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7" fillId="0" borderId="0"/>
    <xf numFmtId="0" fontId="21" fillId="4" borderId="11" applyNumberFormat="0" applyFont="0" applyBorder="0" applyAlignment="0" applyProtection="0">
      <alignment horizontal="center" vertical="top"/>
      <protection locked="0"/>
    </xf>
    <xf numFmtId="0" fontId="21" fillId="4" borderId="11" applyNumberFormat="0" applyFont="0" applyBorder="0" applyAlignment="0" applyProtection="0">
      <alignment horizontal="center" vertical="top"/>
      <protection locked="0"/>
    </xf>
    <xf numFmtId="0" fontId="21" fillId="4" borderId="11" applyNumberFormat="0" applyFont="0" applyBorder="0" applyAlignment="0" applyProtection="0">
      <alignment horizontal="center" vertical="top"/>
      <protection locked="0"/>
    </xf>
    <xf numFmtId="9" fontId="15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9" fillId="0" borderId="0"/>
    <xf numFmtId="0" fontId="19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8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43" fontId="7" fillId="0" borderId="0" applyFont="0" applyFill="0" applyBorder="0" applyAlignment="0" applyProtection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11" fillId="0" borderId="0">
      <alignment vertical="top"/>
    </xf>
    <xf numFmtId="0" fontId="5" fillId="0" borderId="0"/>
    <xf numFmtId="0" fontId="19" fillId="0" borderId="0"/>
    <xf numFmtId="43" fontId="11" fillId="0" borderId="0" applyFont="0" applyFill="0" applyBorder="0" applyAlignment="0" applyProtection="0">
      <alignment vertical="top"/>
    </xf>
    <xf numFmtId="9" fontId="11" fillId="0" borderId="0" applyFont="0" applyFill="0" applyBorder="0" applyAlignment="0" applyProtection="0"/>
    <xf numFmtId="0" fontId="4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506">
    <xf numFmtId="0" fontId="0" fillId="0" borderId="0" xfId="0">
      <alignment vertical="top"/>
    </xf>
    <xf numFmtId="0" fontId="13" fillId="0" borderId="1" xfId="0" applyFont="1" applyBorder="1" applyAlignment="1">
      <alignment horizontal="left" vertical="center"/>
    </xf>
    <xf numFmtId="165" fontId="13" fillId="2" borderId="1" xfId="1" applyNumberFormat="1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165" fontId="13" fillId="0" borderId="1" xfId="1" applyNumberFormat="1" applyFont="1" applyFill="1" applyBorder="1" applyAlignment="1">
      <alignment vertical="center"/>
    </xf>
    <xf numFmtId="165" fontId="13" fillId="0" borderId="1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4" fillId="2" borderId="1" xfId="0" applyFont="1" applyFill="1" applyBorder="1" applyAlignment="1">
      <alignment vertical="center"/>
    </xf>
    <xf numFmtId="165" fontId="13" fillId="0" borderId="1" xfId="1" applyNumberFormat="1" applyFont="1" applyFill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4" fillId="2" borderId="0" xfId="0" applyFont="1" applyFill="1" applyAlignment="1">
      <alignment vertical="center"/>
    </xf>
    <xf numFmtId="165" fontId="13" fillId="0" borderId="1" xfId="1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right" vertical="center"/>
    </xf>
    <xf numFmtId="164" fontId="13" fillId="0" borderId="1" xfId="0" applyNumberFormat="1" applyFont="1" applyBorder="1" applyAlignment="1">
      <alignment horizontal="center" vertical="center"/>
    </xf>
    <xf numFmtId="165" fontId="14" fillId="2" borderId="0" xfId="0" applyNumberFormat="1" applyFont="1" applyFill="1" applyAlignment="1">
      <alignment vertical="center"/>
    </xf>
    <xf numFmtId="0" fontId="13" fillId="0" borderId="0" xfId="0" applyFont="1" applyAlignment="1">
      <alignment horizontal="center" vertical="center"/>
    </xf>
    <xf numFmtId="165" fontId="13" fillId="0" borderId="0" xfId="1" applyNumberFormat="1" applyFont="1" applyBorder="1" applyAlignment="1">
      <alignment horizontal="center" vertical="center"/>
    </xf>
    <xf numFmtId="43" fontId="14" fillId="2" borderId="1" xfId="1" applyFont="1" applyFill="1" applyBorder="1" applyAlignment="1">
      <alignment horizontal="center" vertical="center"/>
    </xf>
    <xf numFmtId="165" fontId="13" fillId="0" borderId="1" xfId="0" applyNumberFormat="1" applyFont="1" applyBorder="1">
      <alignment vertical="top"/>
    </xf>
    <xf numFmtId="165" fontId="22" fillId="2" borderId="1" xfId="1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43" fontId="16" fillId="2" borderId="0" xfId="1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164" fontId="12" fillId="2" borderId="2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 wrapText="1"/>
    </xf>
    <xf numFmtId="43" fontId="12" fillId="2" borderId="2" xfId="1" applyFont="1" applyFill="1" applyBorder="1" applyAlignment="1">
      <alignment vertical="center"/>
    </xf>
    <xf numFmtId="43" fontId="12" fillId="2" borderId="2" xfId="1" applyFont="1" applyFill="1" applyBorder="1" applyAlignment="1">
      <alignment horizontal="left" vertical="center"/>
    </xf>
    <xf numFmtId="43" fontId="12" fillId="2" borderId="8" xfId="1" applyFont="1" applyFill="1" applyBorder="1" applyAlignment="1">
      <alignment horizontal="left" vertical="center"/>
    </xf>
    <xf numFmtId="43" fontId="12" fillId="2" borderId="0" xfId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43" fontId="12" fillId="2" borderId="0" xfId="1" applyFont="1" applyFill="1" applyBorder="1" applyAlignment="1">
      <alignment vertical="center"/>
    </xf>
    <xf numFmtId="43" fontId="12" fillId="2" borderId="3" xfId="1" applyFont="1" applyFill="1" applyBorder="1" applyAlignment="1">
      <alignment vertical="center"/>
    </xf>
    <xf numFmtId="43" fontId="12" fillId="2" borderId="1" xfId="1" applyFont="1" applyFill="1" applyBorder="1" applyAlignment="1">
      <alignment vertical="center"/>
    </xf>
    <xf numFmtId="165" fontId="14" fillId="2" borderId="1" xfId="1" applyNumberFormat="1" applyFont="1" applyFill="1" applyBorder="1" applyAlignment="1">
      <alignment horizontal="center" vertical="center" wrapText="1"/>
    </xf>
    <xf numFmtId="165" fontId="14" fillId="2" borderId="1" xfId="1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165" fontId="14" fillId="2" borderId="2" xfId="1" applyNumberFormat="1" applyFont="1" applyFill="1" applyBorder="1" applyAlignment="1">
      <alignment horizontal="center" vertical="center"/>
    </xf>
    <xf numFmtId="165" fontId="14" fillId="0" borderId="1" xfId="1" applyNumberFormat="1" applyFont="1" applyBorder="1" applyAlignment="1">
      <alignment horizontal="center" vertical="center"/>
    </xf>
    <xf numFmtId="165" fontId="14" fillId="0" borderId="0" xfId="1" applyNumberFormat="1" applyFont="1" applyFill="1" applyBorder="1" applyAlignment="1">
      <alignment vertical="center"/>
    </xf>
    <xf numFmtId="0" fontId="14" fillId="5" borderId="1" xfId="0" applyFont="1" applyFill="1" applyBorder="1" applyAlignment="1">
      <alignment horizontal="center" vertical="center"/>
    </xf>
    <xf numFmtId="165" fontId="14" fillId="5" borderId="1" xfId="1" applyNumberFormat="1" applyFont="1" applyFill="1" applyBorder="1" applyAlignment="1">
      <alignment vertical="center"/>
    </xf>
    <xf numFmtId="0" fontId="14" fillId="5" borderId="0" xfId="0" applyFont="1" applyFill="1" applyAlignment="1">
      <alignment vertical="center"/>
    </xf>
    <xf numFmtId="0" fontId="14" fillId="5" borderId="1" xfId="0" applyFont="1" applyFill="1" applyBorder="1" applyAlignment="1">
      <alignment horizontal="center" vertical="center" wrapText="1"/>
    </xf>
    <xf numFmtId="165" fontId="14" fillId="5" borderId="1" xfId="0" applyNumberFormat="1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vertical="center"/>
    </xf>
    <xf numFmtId="165" fontId="14" fillId="5" borderId="1" xfId="0" applyNumberFormat="1" applyFont="1" applyFill="1" applyBorder="1" applyAlignment="1">
      <alignment vertical="center"/>
    </xf>
    <xf numFmtId="165" fontId="14" fillId="5" borderId="1" xfId="1" applyNumberFormat="1" applyFont="1" applyFill="1" applyBorder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4" fillId="5" borderId="1" xfId="0" applyFont="1" applyFill="1" applyBorder="1" applyAlignment="1">
      <alignment horizontal="left" vertical="center"/>
    </xf>
    <xf numFmtId="165" fontId="13" fillId="0" borderId="0" xfId="1" applyNumberFormat="1" applyFont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43" fontId="14" fillId="5" borderId="1" xfId="1" applyFont="1" applyFill="1" applyBorder="1" applyAlignment="1">
      <alignment vertical="center"/>
    </xf>
    <xf numFmtId="165" fontId="13" fillId="0" borderId="1" xfId="1" applyNumberFormat="1" applyFont="1" applyBorder="1" applyAlignment="1">
      <alignment vertical="center"/>
    </xf>
    <xf numFmtId="165" fontId="13" fillId="0" borderId="1" xfId="1" applyNumberFormat="1" applyFont="1" applyBorder="1" applyAlignment="1">
      <alignment horizontal="center" vertical="center" wrapText="1"/>
    </xf>
    <xf numFmtId="3" fontId="12" fillId="2" borderId="2" xfId="1" applyNumberFormat="1" applyFont="1" applyFill="1" applyBorder="1" applyAlignment="1">
      <alignment horizontal="center" vertical="center"/>
    </xf>
    <xf numFmtId="3" fontId="12" fillId="2" borderId="2" xfId="1" applyNumberFormat="1" applyFont="1" applyFill="1" applyBorder="1" applyAlignment="1">
      <alignment horizontal="center" vertical="center" wrapText="1"/>
    </xf>
    <xf numFmtId="3" fontId="13" fillId="2" borderId="2" xfId="1" applyNumberFormat="1" applyFont="1" applyFill="1" applyBorder="1" applyAlignment="1">
      <alignment horizontal="center" vertical="center" wrapText="1"/>
    </xf>
    <xf numFmtId="3" fontId="13" fillId="2" borderId="8" xfId="1" applyNumberFormat="1" applyFont="1" applyFill="1" applyBorder="1" applyAlignment="1">
      <alignment horizontal="center" vertical="center" wrapText="1"/>
    </xf>
    <xf numFmtId="3" fontId="13" fillId="0" borderId="2" xfId="1" applyNumberFormat="1" applyFont="1" applyFill="1" applyBorder="1" applyAlignment="1">
      <alignment horizontal="center" vertical="center" wrapText="1"/>
    </xf>
    <xf numFmtId="3" fontId="12" fillId="2" borderId="0" xfId="1" applyNumberFormat="1" applyFont="1" applyFill="1" applyAlignment="1">
      <alignment horizontal="center" vertical="center"/>
    </xf>
    <xf numFmtId="3" fontId="13" fillId="0" borderId="2" xfId="1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43" fontId="16" fillId="0" borderId="1" xfId="1" applyFont="1" applyFill="1" applyBorder="1" applyAlignment="1">
      <alignment horizontal="center" vertical="center"/>
    </xf>
    <xf numFmtId="10" fontId="16" fillId="0" borderId="1" xfId="1" applyNumberFormat="1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165" fontId="13" fillId="2" borderId="0" xfId="1" applyNumberFormat="1" applyFont="1" applyFill="1" applyAlignment="1">
      <alignment vertical="center"/>
    </xf>
    <xf numFmtId="165" fontId="13" fillId="2" borderId="0" xfId="1" applyNumberFormat="1" applyFont="1" applyFill="1" applyBorder="1" applyAlignment="1">
      <alignment vertical="center"/>
    </xf>
    <xf numFmtId="165" fontId="13" fillId="0" borderId="0" xfId="1" applyNumberFormat="1" applyFont="1" applyBorder="1" applyAlignment="1">
      <alignment vertical="center"/>
    </xf>
    <xf numFmtId="165" fontId="14" fillId="2" borderId="0" xfId="1" applyNumberFormat="1" applyFont="1" applyFill="1" applyAlignment="1">
      <alignment vertical="center"/>
    </xf>
    <xf numFmtId="1" fontId="22" fillId="2" borderId="1" xfId="0" applyNumberFormat="1" applyFont="1" applyFill="1" applyBorder="1" applyAlignment="1">
      <alignment horizontal="center" vertical="center"/>
    </xf>
    <xf numFmtId="1" fontId="22" fillId="2" borderId="1" xfId="0" applyNumberFormat="1" applyFont="1" applyFill="1" applyBorder="1" applyAlignment="1">
      <alignment horizontal="center" vertical="center" wrapText="1"/>
    </xf>
    <xf numFmtId="1" fontId="22" fillId="2" borderId="1" xfId="1" applyNumberFormat="1" applyFont="1" applyFill="1" applyBorder="1" applyAlignment="1">
      <alignment horizontal="center" vertical="center" wrapText="1"/>
    </xf>
    <xf numFmtId="1" fontId="22" fillId="2" borderId="0" xfId="0" applyNumberFormat="1" applyFont="1" applyFill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5" fontId="13" fillId="0" borderId="0" xfId="1" applyNumberFormat="1" applyFont="1" applyAlignment="1">
      <alignment vertical="center"/>
    </xf>
    <xf numFmtId="165" fontId="13" fillId="3" borderId="0" xfId="1" applyNumberFormat="1" applyFont="1" applyFill="1" applyAlignment="1">
      <alignment vertical="center"/>
    </xf>
    <xf numFmtId="43" fontId="13" fillId="2" borderId="1" xfId="1" applyFont="1" applyFill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43" fontId="13" fillId="0" borderId="0" xfId="1" applyFont="1" applyAlignment="1">
      <alignment vertical="center"/>
    </xf>
    <xf numFmtId="165" fontId="13" fillId="0" borderId="0" xfId="1" applyNumberFormat="1" applyFont="1" applyFill="1" applyAlignment="1">
      <alignment vertical="center"/>
    </xf>
    <xf numFmtId="0" fontId="14" fillId="5" borderId="3" xfId="0" applyFont="1" applyFill="1" applyBorder="1" applyAlignment="1">
      <alignment vertical="center"/>
    </xf>
    <xf numFmtId="0" fontId="14" fillId="5" borderId="7" xfId="0" applyFont="1" applyFill="1" applyBorder="1" applyAlignment="1">
      <alignment vertical="center"/>
    </xf>
    <xf numFmtId="0" fontId="14" fillId="5" borderId="5" xfId="0" applyFont="1" applyFill="1" applyBorder="1" applyAlignment="1">
      <alignment vertical="center"/>
    </xf>
    <xf numFmtId="43" fontId="14" fillId="5" borderId="1" xfId="1" applyFont="1" applyFill="1" applyBorder="1" applyAlignment="1">
      <alignment horizontal="center" vertical="center" wrapText="1"/>
    </xf>
    <xf numFmtId="165" fontId="14" fillId="5" borderId="1" xfId="1" applyNumberFormat="1" applyFont="1" applyFill="1" applyBorder="1" applyAlignment="1">
      <alignment horizontal="center" vertical="center" wrapText="1"/>
    </xf>
    <xf numFmtId="1" fontId="22" fillId="2" borderId="1" xfId="0" applyNumberFormat="1" applyFont="1" applyFill="1" applyBorder="1" applyAlignment="1">
      <alignment vertical="center"/>
    </xf>
    <xf numFmtId="0" fontId="14" fillId="2" borderId="4" xfId="0" applyFont="1" applyFill="1" applyBorder="1" applyAlignment="1">
      <alignment horizontal="center" vertical="center" wrapText="1"/>
    </xf>
    <xf numFmtId="165" fontId="14" fillId="0" borderId="4" xfId="1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165" fontId="13" fillId="2" borderId="0" xfId="1" applyNumberFormat="1" applyFont="1" applyFill="1" applyAlignment="1">
      <alignment horizontal="center" vertical="center"/>
    </xf>
    <xf numFmtId="43" fontId="13" fillId="2" borderId="0" xfId="1" applyFont="1" applyFill="1" applyAlignment="1">
      <alignment vertical="center"/>
    </xf>
    <xf numFmtId="165" fontId="13" fillId="0" borderId="0" xfId="1" applyNumberFormat="1" applyFont="1" applyFill="1" applyBorder="1" applyAlignment="1">
      <alignment vertical="center"/>
    </xf>
    <xf numFmtId="43" fontId="14" fillId="2" borderId="0" xfId="1" applyFont="1" applyFill="1" applyAlignment="1">
      <alignment vertical="center"/>
    </xf>
    <xf numFmtId="165" fontId="14" fillId="2" borderId="0" xfId="1" applyNumberFormat="1" applyFont="1" applyFill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68" fontId="14" fillId="2" borderId="1" xfId="0" applyNumberFormat="1" applyFont="1" applyFill="1" applyBorder="1" applyAlignment="1">
      <alignment horizontal="center" vertical="center"/>
    </xf>
    <xf numFmtId="9" fontId="14" fillId="2" borderId="3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3" xfId="0" applyFont="1" applyFill="1" applyBorder="1" applyAlignment="1">
      <alignment horizontal="center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165" fontId="22" fillId="2" borderId="2" xfId="1" applyNumberFormat="1" applyFont="1" applyFill="1" applyBorder="1" applyAlignment="1">
      <alignment horizontal="center" vertical="center" wrapText="1"/>
    </xf>
    <xf numFmtId="165" fontId="22" fillId="0" borderId="1" xfId="1" applyNumberFormat="1" applyFont="1" applyBorder="1" applyAlignment="1">
      <alignment horizontal="center" vertical="center" wrapText="1"/>
    </xf>
    <xf numFmtId="165" fontId="22" fillId="2" borderId="1" xfId="1" applyNumberFormat="1" applyFont="1" applyFill="1" applyBorder="1" applyAlignment="1">
      <alignment horizontal="center" vertical="center"/>
    </xf>
    <xf numFmtId="43" fontId="22" fillId="2" borderId="1" xfId="1" applyFont="1" applyFill="1" applyBorder="1" applyAlignment="1">
      <alignment horizontal="center" vertical="center" wrapText="1"/>
    </xf>
    <xf numFmtId="165" fontId="22" fillId="0" borderId="1" xfId="1" applyNumberFormat="1" applyFont="1" applyFill="1" applyBorder="1" applyAlignment="1">
      <alignment horizontal="center" vertical="center" wrapText="1"/>
    </xf>
    <xf numFmtId="10" fontId="22" fillId="2" borderId="1" xfId="0" applyNumberFormat="1" applyFont="1" applyFill="1" applyBorder="1" applyAlignment="1">
      <alignment horizontal="center" vertical="center"/>
    </xf>
    <xf numFmtId="9" fontId="22" fillId="2" borderId="3" xfId="0" applyNumberFormat="1" applyFont="1" applyFill="1" applyBorder="1" applyAlignment="1">
      <alignment horizontal="center" vertical="center"/>
    </xf>
    <xf numFmtId="0" fontId="22" fillId="2" borderId="0" xfId="0" applyFont="1" applyFill="1" applyAlignment="1">
      <alignment vertical="center"/>
    </xf>
    <xf numFmtId="43" fontId="13" fillId="0" borderId="1" xfId="1" applyFont="1" applyFill="1" applyBorder="1" applyAlignment="1">
      <alignment vertical="center"/>
    </xf>
    <xf numFmtId="43" fontId="13" fillId="0" borderId="0" xfId="1" applyFont="1" applyBorder="1" applyAlignment="1">
      <alignment vertical="center"/>
    </xf>
    <xf numFmtId="0" fontId="14" fillId="0" borderId="4" xfId="0" applyFont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165" fontId="14" fillId="2" borderId="4" xfId="1" applyNumberFormat="1" applyFont="1" applyFill="1" applyBorder="1" applyAlignment="1">
      <alignment horizontal="center" vertical="center"/>
    </xf>
    <xf numFmtId="37" fontId="13" fillId="0" borderId="1" xfId="0" applyNumberFormat="1" applyFont="1" applyBorder="1" applyAlignment="1">
      <alignment vertical="center"/>
    </xf>
    <xf numFmtId="165" fontId="13" fillId="0" borderId="1" xfId="0" applyNumberFormat="1" applyFont="1" applyBorder="1" applyAlignment="1">
      <alignment horizontal="center" vertical="center" wrapText="1"/>
    </xf>
    <xf numFmtId="166" fontId="13" fillId="0" borderId="1" xfId="0" applyNumberFormat="1" applyFont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/>
    </xf>
    <xf numFmtId="165" fontId="22" fillId="2" borderId="1" xfId="1" applyNumberFormat="1" applyFont="1" applyFill="1" applyBorder="1" applyAlignment="1">
      <alignment vertical="center" wrapText="1"/>
    </xf>
    <xf numFmtId="43" fontId="22" fillId="2" borderId="2" xfId="1" applyFont="1" applyFill="1" applyBorder="1" applyAlignment="1">
      <alignment horizontal="center" vertical="center" wrapText="1"/>
    </xf>
    <xf numFmtId="49" fontId="13" fillId="0" borderId="1" xfId="0" quotePrefix="1" applyNumberFormat="1" applyFont="1" applyBorder="1" applyAlignment="1">
      <alignment horizontal="center" vertical="center"/>
    </xf>
    <xf numFmtId="37" fontId="13" fillId="0" borderId="1" xfId="1" applyNumberFormat="1" applyFont="1" applyBorder="1" applyAlignment="1">
      <alignment vertical="center"/>
    </xf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65" fontId="29" fillId="0" borderId="1" xfId="1" applyNumberFormat="1" applyFont="1" applyFill="1" applyBorder="1" applyAlignment="1">
      <alignment vertical="center"/>
    </xf>
    <xf numFmtId="37" fontId="29" fillId="0" borderId="1" xfId="0" applyNumberFormat="1" applyFont="1" applyBorder="1" applyAlignment="1">
      <alignment vertical="center"/>
    </xf>
    <xf numFmtId="43" fontId="14" fillId="3" borderId="2" xfId="1" applyFont="1" applyFill="1" applyBorder="1" applyAlignment="1">
      <alignment horizontal="left" vertical="center" wrapText="1"/>
    </xf>
    <xf numFmtId="43" fontId="31" fillId="2" borderId="2" xfId="1" applyFont="1" applyFill="1" applyBorder="1" applyAlignment="1">
      <alignment vertical="center"/>
    </xf>
    <xf numFmtId="43" fontId="31" fillId="3" borderId="2" xfId="1" applyFont="1" applyFill="1" applyBorder="1" applyAlignment="1">
      <alignment vertical="center"/>
    </xf>
    <xf numFmtId="0" fontId="33" fillId="0" borderId="0" xfId="0" applyFont="1" applyAlignment="1">
      <alignment vertical="center"/>
    </xf>
    <xf numFmtId="0" fontId="33" fillId="0" borderId="0" xfId="0" applyFont="1" applyAlignment="1">
      <alignment horizontal="left" vertical="center"/>
    </xf>
    <xf numFmtId="165" fontId="33" fillId="0" borderId="0" xfId="1" applyNumberFormat="1" applyFont="1" applyFill="1" applyBorder="1" applyAlignment="1" applyProtection="1">
      <alignment vertical="center"/>
    </xf>
    <xf numFmtId="165" fontId="33" fillId="0" borderId="0" xfId="1" applyNumberFormat="1" applyFont="1" applyFill="1" applyBorder="1" applyAlignment="1" applyProtection="1">
      <alignment horizontal="center" vertical="center"/>
    </xf>
    <xf numFmtId="43" fontId="33" fillId="0" borderId="0" xfId="1" applyFont="1" applyAlignment="1">
      <alignment vertical="center"/>
    </xf>
    <xf numFmtId="0" fontId="34" fillId="0" borderId="0" xfId="0" applyFont="1" applyAlignment="1">
      <alignment horizontal="left" vertical="center"/>
    </xf>
    <xf numFmtId="165" fontId="34" fillId="0" borderId="0" xfId="1" applyNumberFormat="1" applyFont="1" applyFill="1" applyBorder="1" applyAlignment="1" applyProtection="1">
      <alignment horizontal="left" vertical="center"/>
    </xf>
    <xf numFmtId="0" fontId="33" fillId="0" borderId="0" xfId="0" applyFont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/>
    </xf>
    <xf numFmtId="0" fontId="33" fillId="0" borderId="2" xfId="0" applyFont="1" applyBorder="1" applyAlignment="1">
      <alignment horizontal="left" vertical="center"/>
    </xf>
    <xf numFmtId="0" fontId="33" fillId="0" borderId="2" xfId="0" applyFont="1" applyBorder="1" applyAlignment="1">
      <alignment horizontal="center" vertical="center" wrapText="1"/>
    </xf>
    <xf numFmtId="43" fontId="33" fillId="0" borderId="2" xfId="1" applyFont="1" applyBorder="1" applyAlignment="1">
      <alignment horizontal="center" vertical="center"/>
    </xf>
    <xf numFmtId="43" fontId="33" fillId="0" borderId="2" xfId="1" applyFont="1" applyBorder="1" applyAlignment="1">
      <alignment horizontal="center" vertical="center" wrapText="1"/>
    </xf>
    <xf numFmtId="43" fontId="33" fillId="2" borderId="2" xfId="1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left" vertical="center"/>
    </xf>
    <xf numFmtId="165" fontId="33" fillId="2" borderId="1" xfId="1" applyNumberFormat="1" applyFont="1" applyFill="1" applyBorder="1" applyAlignment="1">
      <alignment vertical="center"/>
    </xf>
    <xf numFmtId="43" fontId="33" fillId="2" borderId="1" xfId="0" applyNumberFormat="1" applyFont="1" applyFill="1" applyBorder="1" applyAlignment="1">
      <alignment vertical="center"/>
    </xf>
    <xf numFmtId="43" fontId="33" fillId="0" borderId="1" xfId="1" applyFont="1" applyBorder="1" applyAlignment="1">
      <alignment horizontal="right" vertical="center"/>
    </xf>
    <xf numFmtId="43" fontId="33" fillId="0" borderId="1" xfId="1" applyFont="1" applyBorder="1" applyAlignment="1">
      <alignment horizontal="center" vertical="center"/>
    </xf>
    <xf numFmtId="43" fontId="33" fillId="0" borderId="0" xfId="1" applyFont="1" applyFill="1" applyBorder="1" applyAlignment="1" applyProtection="1">
      <alignment vertical="center"/>
    </xf>
    <xf numFmtId="43" fontId="33" fillId="0" borderId="0" xfId="0" applyNumberFormat="1" applyFont="1" applyAlignment="1">
      <alignment vertical="center"/>
    </xf>
    <xf numFmtId="165" fontId="33" fillId="0" borderId="0" xfId="0" applyNumberFormat="1" applyFont="1" applyAlignment="1">
      <alignment vertical="center"/>
    </xf>
    <xf numFmtId="43" fontId="33" fillId="0" borderId="0" xfId="1" applyFont="1" applyFill="1" applyBorder="1" applyAlignment="1" applyProtection="1">
      <alignment horizontal="center" vertical="center"/>
    </xf>
    <xf numFmtId="0" fontId="37" fillId="0" borderId="0" xfId="0" applyFont="1" applyAlignment="1">
      <alignment vertical="center"/>
    </xf>
    <xf numFmtId="43" fontId="38" fillId="0" borderId="0" xfId="1" applyFont="1" applyAlignment="1">
      <alignment vertical="center"/>
    </xf>
    <xf numFmtId="0" fontId="38" fillId="0" borderId="0" xfId="0" applyFont="1" applyAlignment="1">
      <alignment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/>
    </xf>
    <xf numFmtId="0" fontId="40" fillId="0" borderId="0" xfId="0" applyFont="1" applyAlignment="1">
      <alignment vertical="center"/>
    </xf>
    <xf numFmtId="0" fontId="38" fillId="0" borderId="0" xfId="0" applyFont="1" applyAlignment="1">
      <alignment horizontal="center" vertical="center"/>
    </xf>
    <xf numFmtId="0" fontId="41" fillId="0" borderId="0" xfId="0" applyFont="1" applyAlignment="1">
      <alignment vertical="center"/>
    </xf>
    <xf numFmtId="0" fontId="37" fillId="0" borderId="7" xfId="0" applyFont="1" applyBorder="1" applyAlignment="1">
      <alignment vertical="center"/>
    </xf>
    <xf numFmtId="43" fontId="37" fillId="0" borderId="5" xfId="1" applyFont="1" applyBorder="1" applyAlignment="1">
      <alignment vertical="center"/>
    </xf>
    <xf numFmtId="0" fontId="37" fillId="0" borderId="13" xfId="0" applyFont="1" applyBorder="1" applyAlignment="1">
      <alignment horizontal="center" vertical="center"/>
    </xf>
    <xf numFmtId="43" fontId="37" fillId="2" borderId="4" xfId="1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3" fontId="37" fillId="0" borderId="1" xfId="1" applyFont="1" applyBorder="1" applyAlignment="1">
      <alignment horizontal="center" vertical="center"/>
    </xf>
    <xf numFmtId="0" fontId="37" fillId="0" borderId="8" xfId="0" applyFont="1" applyBorder="1" applyAlignment="1">
      <alignment horizontal="center" vertical="center"/>
    </xf>
    <xf numFmtId="43" fontId="37" fillId="2" borderId="2" xfId="1" applyFont="1" applyFill="1" applyBorder="1" applyAlignment="1" applyProtection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vertical="center" wrapText="1"/>
    </xf>
    <xf numFmtId="0" fontId="38" fillId="0" borderId="2" xfId="0" applyFont="1" applyBorder="1" applyAlignment="1">
      <alignment horizontal="center" vertical="center"/>
    </xf>
    <xf numFmtId="1" fontId="38" fillId="0" borderId="1" xfId="0" applyNumberFormat="1" applyFont="1" applyBorder="1" applyAlignment="1">
      <alignment horizontal="center" vertical="center"/>
    </xf>
    <xf numFmtId="43" fontId="29" fillId="2" borderId="1" xfId="0" applyNumberFormat="1" applyFont="1" applyFill="1" applyBorder="1" applyAlignment="1">
      <alignment vertical="center"/>
    </xf>
    <xf numFmtId="165" fontId="13" fillId="6" borderId="1" xfId="1" applyNumberFormat="1" applyFont="1" applyFill="1" applyBorder="1" applyAlignment="1">
      <alignment vertical="center"/>
    </xf>
    <xf numFmtId="43" fontId="13" fillId="6" borderId="1" xfId="0" applyNumberFormat="1" applyFont="1" applyFill="1" applyBorder="1" applyAlignment="1">
      <alignment vertical="center"/>
    </xf>
    <xf numFmtId="43" fontId="38" fillId="0" borderId="1" xfId="1" applyFont="1" applyBorder="1" applyAlignment="1">
      <alignment horizontal="right" vertical="center"/>
    </xf>
    <xf numFmtId="43" fontId="38" fillId="0" borderId="1" xfId="1" applyFont="1" applyFill="1" applyBorder="1" applyAlignment="1" applyProtection="1">
      <alignment vertical="center"/>
    </xf>
    <xf numFmtId="43" fontId="38" fillId="0" borderId="1" xfId="1" applyFont="1" applyBorder="1" applyAlignment="1">
      <alignment vertical="center"/>
    </xf>
    <xf numFmtId="43" fontId="29" fillId="2" borderId="2" xfId="1" applyFont="1" applyFill="1" applyBorder="1" applyAlignment="1" applyProtection="1">
      <alignment vertical="center"/>
    </xf>
    <xf numFmtId="165" fontId="38" fillId="0" borderId="0" xfId="1" applyNumberFormat="1" applyFont="1" applyFill="1" applyBorder="1" applyAlignment="1" applyProtection="1">
      <alignment vertical="center"/>
    </xf>
    <xf numFmtId="43" fontId="38" fillId="0" borderId="0" xfId="0" applyNumberFormat="1" applyFont="1" applyAlignment="1">
      <alignment vertical="center"/>
    </xf>
    <xf numFmtId="0" fontId="38" fillId="0" borderId="1" xfId="0" applyFont="1" applyBorder="1" applyAlignment="1">
      <alignment vertical="center"/>
    </xf>
    <xf numFmtId="43" fontId="42" fillId="0" borderId="5" xfId="0" applyNumberFormat="1" applyFont="1" applyBorder="1" applyAlignment="1">
      <alignment horizontal="center" vertical="center"/>
    </xf>
    <xf numFmtId="43" fontId="14" fillId="0" borderId="5" xfId="0" applyNumberFormat="1" applyFont="1" applyBorder="1" applyAlignment="1">
      <alignment horizontal="center" vertical="center"/>
    </xf>
    <xf numFmtId="165" fontId="37" fillId="0" borderId="5" xfId="0" applyNumberFormat="1" applyFont="1" applyBorder="1" applyAlignment="1">
      <alignment horizontal="center" vertical="center"/>
    </xf>
    <xf numFmtId="43" fontId="37" fillId="0" borderId="5" xfId="1" applyFont="1" applyBorder="1" applyAlignment="1">
      <alignment horizontal="center" vertical="center"/>
    </xf>
    <xf numFmtId="0" fontId="38" fillId="0" borderId="10" xfId="0" applyFont="1" applyBorder="1" applyAlignment="1">
      <alignment vertical="center"/>
    </xf>
    <xf numFmtId="43" fontId="38" fillId="0" borderId="10" xfId="1" applyFont="1" applyBorder="1" applyAlignment="1">
      <alignment vertical="center"/>
    </xf>
    <xf numFmtId="43" fontId="29" fillId="2" borderId="0" xfId="1" applyFont="1" applyFill="1" applyBorder="1" applyAlignment="1" applyProtection="1">
      <alignment vertical="center"/>
    </xf>
    <xf numFmtId="3" fontId="42" fillId="0" borderId="0" xfId="0" applyNumberFormat="1" applyFont="1" applyAlignment="1">
      <alignment vertical="center"/>
    </xf>
    <xf numFmtId="3" fontId="38" fillId="0" borderId="0" xfId="0" applyNumberFormat="1" applyFont="1" applyAlignment="1">
      <alignment vertical="center"/>
    </xf>
    <xf numFmtId="43" fontId="38" fillId="0" borderId="0" xfId="1" applyFont="1" applyFill="1" applyBorder="1" applyAlignment="1" applyProtection="1">
      <alignment vertical="center"/>
    </xf>
    <xf numFmtId="0" fontId="29" fillId="0" borderId="0" xfId="0" applyFont="1" applyAlignment="1">
      <alignment vertical="center"/>
    </xf>
    <xf numFmtId="43" fontId="38" fillId="0" borderId="0" xfId="1" applyFont="1" applyAlignment="1">
      <alignment horizontal="right" vertical="center"/>
    </xf>
    <xf numFmtId="43" fontId="38" fillId="0" borderId="0" xfId="0" applyNumberFormat="1" applyFont="1" applyAlignment="1">
      <alignment horizontal="center" vertical="center"/>
    </xf>
    <xf numFmtId="165" fontId="29" fillId="2" borderId="1" xfId="1" applyNumberFormat="1" applyFont="1" applyFill="1" applyBorder="1" applyAlignment="1">
      <alignment vertical="center"/>
    </xf>
    <xf numFmtId="43" fontId="29" fillId="0" borderId="1" xfId="1" applyFont="1" applyFill="1" applyBorder="1" applyAlignment="1" applyProtection="1">
      <alignment vertical="center"/>
    </xf>
    <xf numFmtId="165" fontId="38" fillId="0" borderId="1" xfId="1" applyNumberFormat="1" applyFont="1" applyFill="1" applyBorder="1" applyAlignment="1" applyProtection="1">
      <alignment vertical="center"/>
    </xf>
    <xf numFmtId="43" fontId="38" fillId="0" borderId="5" xfId="1" applyFont="1" applyBorder="1" applyAlignment="1">
      <alignment horizontal="center" vertical="center"/>
    </xf>
    <xf numFmtId="43" fontId="38" fillId="3" borderId="0" xfId="1" applyFont="1" applyFill="1" applyAlignment="1">
      <alignment vertical="center"/>
    </xf>
    <xf numFmtId="43" fontId="13" fillId="0" borderId="0" xfId="1" applyFont="1" applyFill="1" applyBorder="1" applyAlignment="1" applyProtection="1">
      <alignment vertical="center"/>
    </xf>
    <xf numFmtId="43" fontId="13" fillId="0" borderId="0" xfId="1" applyFont="1" applyFill="1" applyBorder="1" applyAlignment="1" applyProtection="1">
      <alignment horizontal="right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43" fontId="13" fillId="0" borderId="2" xfId="1" applyFont="1" applyBorder="1" applyAlignment="1">
      <alignment horizontal="center" vertical="center" wrapText="1"/>
    </xf>
    <xf numFmtId="43" fontId="13" fillId="0" borderId="2" xfId="1" applyFont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/>
    </xf>
    <xf numFmtId="43" fontId="13" fillId="0" borderId="1" xfId="1" applyFont="1" applyFill="1" applyBorder="1" applyAlignment="1">
      <alignment horizontal="right" vertical="center"/>
    </xf>
    <xf numFmtId="43" fontId="13" fillId="0" borderId="1" xfId="1" applyFont="1" applyFill="1" applyBorder="1" applyAlignment="1" applyProtection="1">
      <alignment vertical="center"/>
    </xf>
    <xf numFmtId="0" fontId="13" fillId="2" borderId="2" xfId="0" applyFont="1" applyFill="1" applyBorder="1" applyAlignment="1">
      <alignment horizontal="left" vertical="center"/>
    </xf>
    <xf numFmtId="43" fontId="13" fillId="0" borderId="2" xfId="1" applyFont="1" applyBorder="1" applyAlignment="1">
      <alignment horizontal="right" vertical="center"/>
    </xf>
    <xf numFmtId="43" fontId="13" fillId="0" borderId="2" xfId="1" applyFont="1" applyFill="1" applyBorder="1" applyAlignment="1" applyProtection="1">
      <alignment vertical="center"/>
    </xf>
    <xf numFmtId="43" fontId="13" fillId="0" borderId="2" xfId="1" applyFont="1" applyBorder="1" applyAlignment="1">
      <alignment horizontal="left" vertical="center" wrapText="1"/>
    </xf>
    <xf numFmtId="43" fontId="13" fillId="0" borderId="12" xfId="1" applyFont="1" applyBorder="1" applyAlignment="1">
      <alignment horizontal="left" vertical="center" wrapText="1"/>
    </xf>
    <xf numFmtId="43" fontId="14" fillId="5" borderId="5" xfId="1" applyFont="1" applyFill="1" applyBorder="1" applyAlignment="1">
      <alignment horizontal="center" vertical="center"/>
    </xf>
    <xf numFmtId="43" fontId="14" fillId="5" borderId="5" xfId="1" applyFont="1" applyFill="1" applyBorder="1" applyAlignment="1" applyProtection="1">
      <alignment horizontal="center" vertical="center"/>
    </xf>
    <xf numFmtId="43" fontId="14" fillId="5" borderId="5" xfId="1" applyFont="1" applyFill="1" applyBorder="1" applyAlignment="1">
      <alignment vertical="center"/>
    </xf>
    <xf numFmtId="43" fontId="33" fillId="0" borderId="0" xfId="0" applyNumberFormat="1" applyFont="1" applyAlignment="1">
      <alignment horizontal="center" vertical="center"/>
    </xf>
    <xf numFmtId="0" fontId="33" fillId="0" borderId="1" xfId="0" applyFont="1" applyBorder="1" applyAlignment="1">
      <alignment vertical="center"/>
    </xf>
    <xf numFmtId="165" fontId="33" fillId="2" borderId="5" xfId="1" applyNumberFormat="1" applyFont="1" applyFill="1" applyBorder="1" applyAlignment="1">
      <alignment vertical="center"/>
    </xf>
    <xf numFmtId="43" fontId="33" fillId="2" borderId="5" xfId="0" applyNumberFormat="1" applyFont="1" applyFill="1" applyBorder="1" applyAlignment="1">
      <alignment vertical="center"/>
    </xf>
    <xf numFmtId="0" fontId="33" fillId="0" borderId="1" xfId="0" applyFont="1" applyBorder="1" applyAlignment="1">
      <alignment horizontal="left" vertical="center"/>
    </xf>
    <xf numFmtId="0" fontId="32" fillId="5" borderId="1" xfId="0" applyFont="1" applyFill="1" applyBorder="1" applyAlignment="1">
      <alignment vertical="center"/>
    </xf>
    <xf numFmtId="0" fontId="35" fillId="5" borderId="1" xfId="0" applyFont="1" applyFill="1" applyBorder="1" applyAlignment="1">
      <alignment horizontal="center" vertical="center"/>
    </xf>
    <xf numFmtId="0" fontId="35" fillId="5" borderId="5" xfId="0" applyFont="1" applyFill="1" applyBorder="1" applyAlignment="1">
      <alignment horizontal="center" vertical="center"/>
    </xf>
    <xf numFmtId="43" fontId="32" fillId="5" borderId="1" xfId="1" applyFont="1" applyFill="1" applyBorder="1" applyAlignment="1" applyProtection="1">
      <alignment vertical="center"/>
    </xf>
    <xf numFmtId="43" fontId="32" fillId="5" borderId="1" xfId="1" applyFont="1" applyFill="1" applyBorder="1" applyAlignment="1" applyProtection="1">
      <alignment horizontal="center" vertical="center"/>
    </xf>
    <xf numFmtId="165" fontId="32" fillId="5" borderId="1" xfId="1" applyNumberFormat="1" applyFont="1" applyFill="1" applyBorder="1" applyAlignment="1" applyProtection="1">
      <alignment vertical="center"/>
    </xf>
    <xf numFmtId="43" fontId="33" fillId="0" borderId="10" xfId="1" applyFont="1" applyBorder="1" applyAlignment="1">
      <alignment vertical="center"/>
    </xf>
    <xf numFmtId="0" fontId="33" fillId="0" borderId="10" xfId="0" applyFont="1" applyBorder="1" applyAlignment="1">
      <alignment vertical="center"/>
    </xf>
    <xf numFmtId="0" fontId="47" fillId="0" borderId="1" xfId="0" applyFont="1" applyBorder="1" applyAlignment="1">
      <alignment horizontal="center"/>
    </xf>
    <xf numFmtId="0" fontId="47" fillId="0" borderId="1" xfId="0" applyFont="1" applyBorder="1" applyAlignment="1"/>
    <xf numFmtId="0" fontId="47" fillId="0" borderId="1" xfId="0" applyFont="1" applyBorder="1" applyAlignment="1">
      <alignment horizontal="center" vertical="center"/>
    </xf>
    <xf numFmtId="0" fontId="47" fillId="0" borderId="0" xfId="0" applyFont="1" applyAlignment="1"/>
    <xf numFmtId="0" fontId="47" fillId="0" borderId="3" xfId="0" applyFont="1" applyBorder="1" applyAlignment="1"/>
    <xf numFmtId="0" fontId="47" fillId="0" borderId="7" xfId="0" applyFont="1" applyBorder="1" applyAlignment="1"/>
    <xf numFmtId="0" fontId="47" fillId="0" borderId="5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/>
    </xf>
    <xf numFmtId="0" fontId="48" fillId="0" borderId="1" xfId="0" applyFont="1" applyBorder="1" applyAlignment="1">
      <alignment horizontal="center" vertical="center"/>
    </xf>
    <xf numFmtId="165" fontId="47" fillId="0" borderId="3" xfId="1" applyNumberFormat="1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/>
    </xf>
    <xf numFmtId="0" fontId="49" fillId="0" borderId="1" xfId="0" applyFont="1" applyBorder="1" applyAlignment="1">
      <alignment horizontal="center" vertical="center"/>
    </xf>
    <xf numFmtId="165" fontId="47" fillId="0" borderId="1" xfId="1" applyNumberFormat="1" applyFont="1" applyBorder="1" applyAlignment="1"/>
    <xf numFmtId="165" fontId="47" fillId="0" borderId="0" xfId="0" applyNumberFormat="1" applyFont="1" applyAlignment="1"/>
    <xf numFmtId="0" fontId="50" fillId="0" borderId="1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2" borderId="1" xfId="0" applyFont="1" applyFill="1" applyBorder="1" applyAlignment="1">
      <alignment horizontal="center"/>
    </xf>
    <xf numFmtId="0" fontId="47" fillId="2" borderId="0" xfId="0" applyFont="1" applyFill="1" applyAlignment="1"/>
    <xf numFmtId="0" fontId="47" fillId="2" borderId="0" xfId="0" applyFont="1" applyFill="1" applyAlignment="1">
      <alignment horizontal="center" vertical="center"/>
    </xf>
    <xf numFmtId="0" fontId="47" fillId="2" borderId="1" xfId="0" applyFont="1" applyFill="1" applyBorder="1" applyAlignment="1"/>
    <xf numFmtId="0" fontId="48" fillId="3" borderId="0" xfId="0" applyFont="1" applyFill="1" applyAlignment="1">
      <alignment horizontal="center"/>
    </xf>
    <xf numFmtId="165" fontId="47" fillId="0" borderId="0" xfId="0" applyNumberFormat="1" applyFont="1" applyAlignment="1">
      <alignment horizontal="center" vertical="center"/>
    </xf>
    <xf numFmtId="0" fontId="47" fillId="0" borderId="0" xfId="0" applyFont="1" applyAlignment="1">
      <alignment horizontal="center"/>
    </xf>
    <xf numFmtId="165" fontId="47" fillId="0" borderId="0" xfId="1" applyNumberFormat="1" applyFont="1" applyAlignment="1"/>
    <xf numFmtId="0" fontId="52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 vertical="center"/>
    </xf>
    <xf numFmtId="165" fontId="52" fillId="0" borderId="1" xfId="0" applyNumberFormat="1" applyFont="1" applyBorder="1" applyAlignment="1">
      <alignment horizontal="center" vertical="center"/>
    </xf>
    <xf numFmtId="16" fontId="52" fillId="0" borderId="1" xfId="0" quotePrefix="1" applyNumberFormat="1" applyFont="1" applyBorder="1" applyAlignment="1">
      <alignment horizontal="center" vertical="center"/>
    </xf>
    <xf numFmtId="165" fontId="47" fillId="3" borderId="0" xfId="0" applyNumberFormat="1" applyFont="1" applyFill="1" applyAlignment="1"/>
    <xf numFmtId="165" fontId="52" fillId="3" borderId="1" xfId="0" applyNumberFormat="1" applyFont="1" applyFill="1" applyBorder="1" applyAlignment="1"/>
    <xf numFmtId="0" fontId="13" fillId="0" borderId="0" xfId="0" applyFont="1" applyAlignment="1"/>
    <xf numFmtId="165" fontId="13" fillId="0" borderId="0" xfId="1" applyNumberFormat="1" applyFont="1" applyAlignment="1"/>
    <xf numFmtId="43" fontId="13" fillId="0" borderId="0" xfId="1" applyFont="1" applyAlignment="1">
      <alignment horizontal="center" vertical="center"/>
    </xf>
    <xf numFmtId="0" fontId="13" fillId="0" borderId="0" xfId="0" applyFont="1" applyAlignment="1">
      <alignment horizontal="left"/>
    </xf>
    <xf numFmtId="0" fontId="14" fillId="0" borderId="4" xfId="0" applyFon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165" fontId="14" fillId="0" borderId="4" xfId="1" applyNumberFormat="1" applyFont="1" applyBorder="1" applyAlignment="1">
      <alignment horizontal="center" vertical="center"/>
    </xf>
    <xf numFmtId="43" fontId="14" fillId="0" borderId="13" xfId="1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/>
    </xf>
    <xf numFmtId="165" fontId="14" fillId="0" borderId="2" xfId="0" applyNumberFormat="1" applyFont="1" applyBorder="1" applyAlignment="1">
      <alignment vertical="center"/>
    </xf>
    <xf numFmtId="165" fontId="14" fillId="0" borderId="2" xfId="1" applyNumberFormat="1" applyFont="1" applyBorder="1" applyAlignment="1">
      <alignment horizontal="center" vertical="center"/>
    </xf>
    <xf numFmtId="43" fontId="14" fillId="0" borderId="2" xfId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165" fontId="13" fillId="5" borderId="1" xfId="1" applyNumberFormat="1" applyFont="1" applyFill="1" applyBorder="1" applyAlignment="1">
      <alignment horizontal="center" vertical="center"/>
    </xf>
    <xf numFmtId="165" fontId="13" fillId="7" borderId="1" xfId="1" applyNumberFormat="1" applyFont="1" applyFill="1" applyBorder="1" applyAlignment="1">
      <alignment horizontal="center" vertical="center"/>
    </xf>
    <xf numFmtId="43" fontId="13" fillId="5" borderId="1" xfId="1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5" fontId="13" fillId="8" borderId="0" xfId="1" applyNumberFormat="1" applyFont="1" applyFill="1" applyBorder="1" applyAlignment="1"/>
    <xf numFmtId="0" fontId="13" fillId="8" borderId="0" xfId="0" applyFont="1" applyFill="1" applyAlignment="1"/>
    <xf numFmtId="0" fontId="13" fillId="9" borderId="0" xfId="0" applyFont="1" applyFill="1" applyAlignment="1"/>
    <xf numFmtId="0" fontId="29" fillId="2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165" fontId="29" fillId="0" borderId="1" xfId="1" applyNumberFormat="1" applyFont="1" applyBorder="1" applyAlignment="1">
      <alignment horizontal="left" vertical="center"/>
    </xf>
    <xf numFmtId="165" fontId="29" fillId="2" borderId="1" xfId="1" applyNumberFormat="1" applyFont="1" applyFill="1" applyBorder="1" applyAlignment="1">
      <alignment horizontal="left" vertical="center"/>
    </xf>
    <xf numFmtId="9" fontId="29" fillId="2" borderId="1" xfId="1" applyNumberFormat="1" applyFont="1" applyFill="1" applyBorder="1" applyAlignment="1">
      <alignment horizontal="center" vertical="center"/>
    </xf>
    <xf numFmtId="43" fontId="29" fillId="2" borderId="1" xfId="1" applyFont="1" applyFill="1" applyBorder="1" applyAlignment="1">
      <alignment horizontal="center" vertical="center"/>
    </xf>
    <xf numFmtId="165" fontId="29" fillId="0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/>
    </xf>
    <xf numFmtId="165" fontId="29" fillId="2" borderId="1" xfId="1" applyNumberFormat="1" applyFont="1" applyFill="1" applyBorder="1" applyAlignment="1">
      <alignment horizontal="center" vertical="center"/>
    </xf>
    <xf numFmtId="165" fontId="29" fillId="0" borderId="0" xfId="1" applyNumberFormat="1" applyFont="1" applyAlignment="1"/>
    <xf numFmtId="0" fontId="29" fillId="0" borderId="0" xfId="0" applyFont="1" applyAlignment="1"/>
    <xf numFmtId="0" fontId="29" fillId="2" borderId="0" xfId="0" applyFont="1" applyFill="1" applyAlignment="1"/>
    <xf numFmtId="9" fontId="29" fillId="2" borderId="1" xfId="62" applyFont="1" applyFill="1" applyBorder="1" applyAlignment="1">
      <alignment horizontal="center" vertical="center"/>
    </xf>
    <xf numFmtId="43" fontId="29" fillId="0" borderId="0" xfId="0" applyNumberFormat="1" applyFont="1" applyAlignment="1"/>
    <xf numFmtId="9" fontId="29" fillId="0" borderId="0" xfId="1" applyNumberFormat="1" applyFont="1" applyAlignment="1"/>
    <xf numFmtId="9" fontId="29" fillId="0" borderId="0" xfId="0" applyNumberFormat="1" applyFont="1" applyAlignment="1"/>
    <xf numFmtId="0" fontId="13" fillId="2" borderId="1" xfId="0" applyFont="1" applyFill="1" applyBorder="1" applyAlignment="1">
      <alignment horizontal="center"/>
    </xf>
    <xf numFmtId="9" fontId="13" fillId="0" borderId="1" xfId="62" applyFont="1" applyFill="1" applyBorder="1" applyAlignment="1">
      <alignment horizontal="center" vertical="center"/>
    </xf>
    <xf numFmtId="43" fontId="13" fillId="0" borderId="1" xfId="1" applyFont="1" applyFill="1" applyBorder="1" applyAlignment="1">
      <alignment horizontal="center" vertical="center"/>
    </xf>
    <xf numFmtId="165" fontId="13" fillId="0" borderId="1" xfId="1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165" fontId="13" fillId="2" borderId="1" xfId="1" applyNumberFormat="1" applyFont="1" applyFill="1" applyBorder="1" applyAlignment="1">
      <alignment horizontal="center" vertical="center"/>
    </xf>
    <xf numFmtId="0" fontId="13" fillId="0" borderId="1" xfId="0" applyFont="1" applyBorder="1">
      <alignment vertical="top"/>
    </xf>
    <xf numFmtId="0" fontId="14" fillId="5" borderId="1" xfId="0" applyFont="1" applyFill="1" applyBorder="1" applyAlignment="1">
      <alignment horizontal="center"/>
    </xf>
    <xf numFmtId="0" fontId="14" fillId="5" borderId="1" xfId="0" applyFont="1" applyFill="1" applyBorder="1" applyAlignment="1"/>
    <xf numFmtId="165" fontId="14" fillId="7" borderId="1" xfId="1" applyNumberFormat="1" applyFont="1" applyFill="1" applyBorder="1" applyAlignment="1">
      <alignment horizontal="center"/>
    </xf>
    <xf numFmtId="9" fontId="13" fillId="5" borderId="0" xfId="62" applyFont="1" applyFill="1" applyAlignment="1"/>
    <xf numFmtId="0" fontId="29" fillId="0" borderId="1" xfId="0" applyFont="1" applyBorder="1" applyAlignment="1">
      <alignment horizontal="center"/>
    </xf>
    <xf numFmtId="9" fontId="29" fillId="0" borderId="1" xfId="62" applyFont="1" applyFill="1" applyBorder="1" applyAlignment="1">
      <alignment horizontal="center" vertical="center"/>
    </xf>
    <xf numFmtId="43" fontId="42" fillId="0" borderId="1" xfId="1" applyFont="1" applyFill="1" applyBorder="1" applyAlignment="1">
      <alignment horizontal="center"/>
    </xf>
    <xf numFmtId="9" fontId="29" fillId="0" borderId="0" xfId="62" applyFont="1" applyFill="1" applyAlignment="1"/>
    <xf numFmtId="0" fontId="13" fillId="0" borderId="1" xfId="0" applyFont="1" applyBorder="1" applyAlignment="1">
      <alignment horizontal="center"/>
    </xf>
    <xf numFmtId="165" fontId="13" fillId="0" borderId="1" xfId="1" applyNumberFormat="1" applyFont="1" applyBorder="1" applyAlignment="1">
      <alignment horizontal="left" vertical="center"/>
    </xf>
    <xf numFmtId="165" fontId="13" fillId="0" borderId="0" xfId="0" applyNumberFormat="1" applyFont="1" applyAlignment="1"/>
    <xf numFmtId="165" fontId="13" fillId="5" borderId="1" xfId="1" applyNumberFormat="1" applyFont="1" applyFill="1" applyBorder="1" applyAlignment="1"/>
    <xf numFmtId="165" fontId="13" fillId="7" borderId="1" xfId="1" applyNumberFormat="1" applyFont="1" applyFill="1" applyBorder="1" applyAlignment="1"/>
    <xf numFmtId="0" fontId="13" fillId="5" borderId="1" xfId="0" applyFont="1" applyFill="1" applyBorder="1" applyAlignment="1"/>
    <xf numFmtId="43" fontId="29" fillId="0" borderId="1" xfId="1" applyFont="1" applyFill="1" applyBorder="1" applyAlignment="1"/>
    <xf numFmtId="0" fontId="13" fillId="0" borderId="0" xfId="0" applyFont="1" applyAlignment="1">
      <alignment horizontal="center"/>
    </xf>
    <xf numFmtId="9" fontId="13" fillId="0" borderId="0" xfId="62" applyFont="1" applyBorder="1" applyAlignment="1">
      <alignment horizontal="center" vertical="center"/>
    </xf>
    <xf numFmtId="43" fontId="13" fillId="0" borderId="0" xfId="1" applyFont="1" applyBorder="1" applyAlignment="1">
      <alignment horizontal="center" vertical="center"/>
    </xf>
    <xf numFmtId="0" fontId="53" fillId="0" borderId="0" xfId="0" applyFont="1" applyAlignment="1">
      <alignment vertical="center"/>
    </xf>
    <xf numFmtId="165" fontId="13" fillId="0" borderId="0" xfId="62" applyNumberFormat="1" applyFont="1" applyBorder="1" applyAlignment="1">
      <alignment horizontal="center" vertical="center"/>
    </xf>
    <xf numFmtId="0" fontId="13" fillId="0" borderId="0" xfId="1" applyNumberFormat="1" applyFont="1" applyBorder="1" applyAlignment="1">
      <alignment horizontal="center" vertical="center"/>
    </xf>
    <xf numFmtId="165" fontId="14" fillId="0" borderId="0" xfId="1" applyNumberFormat="1" applyFont="1" applyAlignment="1">
      <alignment horizontal="center" vertical="center"/>
    </xf>
    <xf numFmtId="165" fontId="13" fillId="0" borderId="0" xfId="1" applyNumberFormat="1" applyFont="1" applyAlignment="1">
      <alignment horizontal="center"/>
    </xf>
    <xf numFmtId="165" fontId="53" fillId="0" borderId="0" xfId="1" applyNumberFormat="1" applyFont="1" applyBorder="1" applyAlignment="1">
      <alignment horizontal="center" vertical="center"/>
    </xf>
    <xf numFmtId="0" fontId="51" fillId="3" borderId="9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center"/>
    </xf>
    <xf numFmtId="165" fontId="53" fillId="0" borderId="0" xfId="1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2" fillId="0" borderId="9" xfId="0" applyFont="1" applyBorder="1" applyAlignment="1">
      <alignment horizontal="center" vertical="center"/>
    </xf>
    <xf numFmtId="165" fontId="13" fillId="0" borderId="0" xfId="1" applyNumberFormat="1" applyFont="1" applyAlignment="1">
      <alignment horizontal="right" vertical="center"/>
    </xf>
    <xf numFmtId="165" fontId="14" fillId="0" borderId="4" xfId="1" applyNumberFormat="1" applyFont="1" applyBorder="1" applyAlignment="1">
      <alignment horizontal="center" vertical="center" wrapText="1"/>
    </xf>
    <xf numFmtId="165" fontId="14" fillId="0" borderId="2" xfId="1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165" fontId="14" fillId="2" borderId="4" xfId="1" applyNumberFormat="1" applyFont="1" applyFill="1" applyBorder="1" applyAlignment="1">
      <alignment horizontal="center" vertical="center" wrapText="1"/>
    </xf>
    <xf numFmtId="165" fontId="14" fillId="2" borderId="11" xfId="1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9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43" fontId="14" fillId="2" borderId="4" xfId="1" applyFont="1" applyFill="1" applyBorder="1" applyAlignment="1">
      <alignment horizontal="center" vertical="center" wrapText="1"/>
    </xf>
    <xf numFmtId="43" fontId="14" fillId="2" borderId="2" xfId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165" fontId="14" fillId="2" borderId="4" xfId="1" applyNumberFormat="1" applyFont="1" applyFill="1" applyBorder="1" applyAlignment="1">
      <alignment horizontal="center" vertical="center"/>
    </xf>
    <xf numFmtId="165" fontId="14" fillId="2" borderId="11" xfId="1" applyNumberFormat="1" applyFont="1" applyFill="1" applyBorder="1" applyAlignment="1">
      <alignment horizontal="center" vertical="center"/>
    </xf>
    <xf numFmtId="165" fontId="14" fillId="2" borderId="2" xfId="1" applyNumberFormat="1" applyFont="1" applyFill="1" applyBorder="1" applyAlignment="1">
      <alignment horizontal="center" vertical="center"/>
    </xf>
    <xf numFmtId="165" fontId="14" fillId="2" borderId="2" xfId="1" applyNumberFormat="1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/>
    </xf>
    <xf numFmtId="0" fontId="14" fillId="0" borderId="9" xfId="0" applyFont="1" applyBorder="1" applyAlignment="1">
      <alignment horizontal="center" vertical="center"/>
    </xf>
    <xf numFmtId="0" fontId="14" fillId="2" borderId="4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14" fillId="2" borderId="2" xfId="0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left" vertical="center"/>
    </xf>
    <xf numFmtId="165" fontId="14" fillId="0" borderId="13" xfId="1" applyNumberFormat="1" applyFont="1" applyBorder="1" applyAlignment="1">
      <alignment horizontal="center" vertical="center"/>
    </xf>
    <xf numFmtId="165" fontId="14" fillId="0" borderId="6" xfId="1" applyNumberFormat="1" applyFont="1" applyBorder="1" applyAlignment="1">
      <alignment horizontal="center" vertical="center"/>
    </xf>
    <xf numFmtId="165" fontId="14" fillId="0" borderId="8" xfId="1" applyNumberFormat="1" applyFont="1" applyBorder="1" applyAlignment="1">
      <alignment horizontal="center" vertical="center"/>
    </xf>
    <xf numFmtId="165" fontId="14" fillId="0" borderId="12" xfId="1" applyNumberFormat="1" applyFont="1" applyBorder="1" applyAlignment="1">
      <alignment horizontal="center" vertical="center"/>
    </xf>
    <xf numFmtId="43" fontId="14" fillId="0" borderId="4" xfId="1" applyFont="1" applyFill="1" applyBorder="1" applyAlignment="1">
      <alignment horizontal="center" vertical="center" wrapText="1"/>
    </xf>
    <xf numFmtId="43" fontId="14" fillId="0" borderId="11" xfId="1" applyFont="1" applyFill="1" applyBorder="1" applyAlignment="1">
      <alignment horizontal="center" vertical="center" wrapText="1"/>
    </xf>
    <xf numFmtId="43" fontId="14" fillId="0" borderId="2" xfId="1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left" vertical="center"/>
    </xf>
    <xf numFmtId="165" fontId="14" fillId="0" borderId="4" xfId="1" applyNumberFormat="1" applyFont="1" applyFill="1" applyBorder="1" applyAlignment="1">
      <alignment horizontal="center" vertical="center" wrapText="1"/>
    </xf>
    <xf numFmtId="165" fontId="14" fillId="0" borderId="11" xfId="1" applyNumberFormat="1" applyFont="1" applyFill="1" applyBorder="1" applyAlignment="1">
      <alignment horizontal="center" vertical="center" wrapText="1"/>
    </xf>
    <xf numFmtId="165" fontId="14" fillId="0" borderId="2" xfId="1" applyNumberFormat="1" applyFont="1" applyFill="1" applyBorder="1" applyAlignment="1">
      <alignment horizontal="center" vertical="center" wrapText="1"/>
    </xf>
    <xf numFmtId="43" fontId="16" fillId="0" borderId="4" xfId="1" applyFont="1" applyFill="1" applyBorder="1" applyAlignment="1">
      <alignment horizontal="center" vertical="center" wrapText="1"/>
    </xf>
    <xf numFmtId="43" fontId="16" fillId="0" borderId="11" xfId="1" applyFont="1" applyFill="1" applyBorder="1" applyAlignment="1">
      <alignment horizontal="center" vertical="center" wrapText="1"/>
    </xf>
    <xf numFmtId="43" fontId="16" fillId="0" borderId="2" xfId="1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43" fontId="16" fillId="0" borderId="7" xfId="1" applyFont="1" applyFill="1" applyBorder="1" applyAlignment="1">
      <alignment horizontal="center" vertical="center" wrapText="1"/>
    </xf>
    <xf numFmtId="43" fontId="16" fillId="0" borderId="5" xfId="1" applyFont="1" applyFill="1" applyBorder="1" applyAlignment="1">
      <alignment horizontal="center" vertical="center" wrapText="1"/>
    </xf>
    <xf numFmtId="43" fontId="30" fillId="0" borderId="4" xfId="1" applyFont="1" applyFill="1" applyBorder="1" applyAlignment="1">
      <alignment horizontal="center" vertical="center" wrapText="1"/>
    </xf>
    <xf numFmtId="43" fontId="30" fillId="0" borderId="11" xfId="1" applyFont="1" applyFill="1" applyBorder="1" applyAlignment="1">
      <alignment horizontal="center" vertical="center" wrapText="1"/>
    </xf>
    <xf numFmtId="43" fontId="30" fillId="0" borderId="2" xfId="1" applyFont="1" applyFill="1" applyBorder="1" applyAlignment="1">
      <alignment horizontal="center" vertical="center" wrapText="1"/>
    </xf>
    <xf numFmtId="43" fontId="14" fillId="0" borderId="3" xfId="1" applyFont="1" applyFill="1" applyBorder="1" applyAlignment="1">
      <alignment horizontal="center" vertical="center" wrapText="1"/>
    </xf>
    <xf numFmtId="43" fontId="14" fillId="0" borderId="5" xfId="1" applyFont="1" applyFill="1" applyBorder="1" applyAlignment="1">
      <alignment horizontal="center" vertical="center" wrapText="1"/>
    </xf>
    <xf numFmtId="43" fontId="16" fillId="0" borderId="3" xfId="1" applyFont="1" applyFill="1" applyBorder="1" applyAlignment="1">
      <alignment horizontal="center" vertical="center"/>
    </xf>
    <xf numFmtId="43" fontId="16" fillId="0" borderId="5" xfId="1" applyFont="1" applyFill="1" applyBorder="1" applyAlignment="1">
      <alignment horizontal="center" vertical="center"/>
    </xf>
    <xf numFmtId="43" fontId="14" fillId="2" borderId="11" xfId="1" applyFont="1" applyFill="1" applyBorder="1" applyAlignment="1">
      <alignment horizontal="center" vertical="center" wrapText="1"/>
    </xf>
    <xf numFmtId="0" fontId="14" fillId="5" borderId="3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horizontal="center" vertical="center"/>
    </xf>
    <xf numFmtId="165" fontId="14" fillId="5" borderId="3" xfId="1" applyNumberFormat="1" applyFont="1" applyFill="1" applyBorder="1" applyAlignment="1">
      <alignment horizontal="left" vertical="center"/>
    </xf>
    <xf numFmtId="165" fontId="14" fillId="5" borderId="5" xfId="1" applyNumberFormat="1" applyFont="1" applyFill="1" applyBorder="1" applyAlignment="1">
      <alignment horizontal="left" vertical="center"/>
    </xf>
    <xf numFmtId="165" fontId="14" fillId="2" borderId="13" xfId="1" applyNumberFormat="1" applyFont="1" applyFill="1" applyBorder="1" applyAlignment="1">
      <alignment horizontal="center" vertical="center" wrapText="1"/>
    </xf>
    <xf numFmtId="165" fontId="14" fillId="2" borderId="6" xfId="1" applyNumberFormat="1" applyFont="1" applyFill="1" applyBorder="1" applyAlignment="1">
      <alignment horizontal="center" vertical="center" wrapText="1"/>
    </xf>
    <xf numFmtId="165" fontId="14" fillId="2" borderId="8" xfId="1" applyNumberFormat="1" applyFont="1" applyFill="1" applyBorder="1" applyAlignment="1">
      <alignment horizontal="center" vertical="center" wrapText="1"/>
    </xf>
    <xf numFmtId="165" fontId="14" fillId="2" borderId="12" xfId="1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0" fontId="33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 indent="5"/>
    </xf>
    <xf numFmtId="0" fontId="32" fillId="0" borderId="4" xfId="0" applyFont="1" applyBorder="1" applyAlignment="1">
      <alignment horizontal="center" vertical="center" wrapText="1"/>
    </xf>
    <xf numFmtId="0" fontId="32" fillId="0" borderId="11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32" fillId="0" borderId="4" xfId="0" applyFont="1" applyBorder="1" applyAlignment="1">
      <alignment horizontal="center" vertical="center"/>
    </xf>
    <xf numFmtId="0" fontId="32" fillId="0" borderId="1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65" fontId="32" fillId="0" borderId="4" xfId="1" applyNumberFormat="1" applyFont="1" applyBorder="1" applyAlignment="1">
      <alignment horizontal="center" vertical="center" wrapText="1"/>
    </xf>
    <xf numFmtId="165" fontId="32" fillId="0" borderId="11" xfId="1" applyNumberFormat="1" applyFont="1" applyBorder="1" applyAlignment="1">
      <alignment horizontal="center" vertical="center" wrapText="1"/>
    </xf>
    <xf numFmtId="165" fontId="32" fillId="0" borderId="2" xfId="1" applyNumberFormat="1" applyFont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2" fillId="2" borderId="1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43" fontId="32" fillId="0" borderId="4" xfId="1" applyFont="1" applyBorder="1" applyAlignment="1">
      <alignment horizontal="center" vertical="center" wrapText="1"/>
    </xf>
    <xf numFmtId="43" fontId="32" fillId="0" borderId="11" xfId="1" applyFont="1" applyBorder="1" applyAlignment="1">
      <alignment horizontal="center" vertical="center" wrapText="1"/>
    </xf>
    <xf numFmtId="43" fontId="32" fillId="0" borderId="2" xfId="1" applyFont="1" applyBorder="1" applyAlignment="1">
      <alignment horizontal="center" vertical="center" wrapText="1"/>
    </xf>
    <xf numFmtId="43" fontId="36" fillId="0" borderId="4" xfId="1" applyFont="1" applyBorder="1" applyAlignment="1">
      <alignment horizontal="center" vertical="center" wrapText="1"/>
    </xf>
    <xf numFmtId="43" fontId="36" fillId="0" borderId="11" xfId="1" applyFont="1" applyBorder="1" applyAlignment="1">
      <alignment horizontal="center" vertical="center" wrapText="1"/>
    </xf>
    <xf numFmtId="43" fontId="36" fillId="0" borderId="2" xfId="1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45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43" fontId="13" fillId="0" borderId="10" xfId="1" applyFont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5" fontId="14" fillId="0" borderId="11" xfId="1" applyNumberFormat="1" applyFont="1" applyBorder="1" applyAlignment="1">
      <alignment horizontal="center" vertical="center" wrapText="1"/>
    </xf>
    <xf numFmtId="43" fontId="14" fillId="0" borderId="4" xfId="1" applyFont="1" applyBorder="1" applyAlignment="1">
      <alignment horizontal="center" vertical="center" wrapText="1"/>
    </xf>
    <xf numFmtId="43" fontId="14" fillId="0" borderId="11" xfId="1" applyFont="1" applyBorder="1" applyAlignment="1">
      <alignment horizontal="center" vertical="center" wrapText="1"/>
    </xf>
    <xf numFmtId="43" fontId="14" fillId="0" borderId="2" xfId="1" applyFont="1" applyBorder="1" applyAlignment="1">
      <alignment horizontal="center" vertical="center" wrapText="1"/>
    </xf>
    <xf numFmtId="43" fontId="14" fillId="0" borderId="1" xfId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39" fillId="0" borderId="0" xfId="0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37" fillId="0" borderId="1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1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0" fontId="42" fillId="0" borderId="11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 wrapText="1"/>
    </xf>
    <xf numFmtId="0" fontId="37" fillId="6" borderId="4" xfId="0" applyFont="1" applyFill="1" applyBorder="1" applyAlignment="1">
      <alignment horizontal="center" vertical="center" wrapText="1"/>
    </xf>
    <xf numFmtId="0" fontId="37" fillId="6" borderId="11" xfId="0" applyFont="1" applyFill="1" applyBorder="1" applyAlignment="1">
      <alignment horizontal="center" vertical="center" wrapText="1"/>
    </xf>
    <xf numFmtId="0" fontId="37" fillId="6" borderId="2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38" fillId="0" borderId="3" xfId="0" applyFont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/>
    </xf>
    <xf numFmtId="0" fontId="44" fillId="0" borderId="5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 wrapText="1"/>
    </xf>
    <xf numFmtId="43" fontId="37" fillId="0" borderId="1" xfId="1" applyFont="1" applyBorder="1" applyAlignment="1">
      <alignment horizontal="center" vertical="center" wrapText="1"/>
    </xf>
    <xf numFmtId="0" fontId="37" fillId="0" borderId="13" xfId="0" applyFont="1" applyBorder="1" applyAlignment="1">
      <alignment horizontal="center" vertical="center" wrapText="1"/>
    </xf>
    <xf numFmtId="0" fontId="37" fillId="0" borderId="6" xfId="0" applyFont="1" applyBorder="1" applyAlignment="1">
      <alignment horizontal="center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center" wrapText="1"/>
    </xf>
    <xf numFmtId="0" fontId="43" fillId="0" borderId="11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5" xfId="0" applyFont="1" applyBorder="1" applyAlignment="1">
      <alignment horizontal="center" vertical="center"/>
    </xf>
    <xf numFmtId="0" fontId="38" fillId="0" borderId="10" xfId="0" applyFont="1" applyBorder="1" applyAlignment="1">
      <alignment horizontal="right" vertical="center"/>
    </xf>
    <xf numFmtId="43" fontId="37" fillId="0" borderId="4" xfId="1" applyFont="1" applyBorder="1" applyAlignment="1">
      <alignment horizontal="center" vertical="center" wrapText="1"/>
    </xf>
    <xf numFmtId="43" fontId="37" fillId="0" borderId="11" xfId="1" applyFont="1" applyBorder="1" applyAlignment="1">
      <alignment horizontal="center" vertical="center" wrapText="1"/>
    </xf>
    <xf numFmtId="43" fontId="37" fillId="0" borderId="2" xfId="1" applyFont="1" applyBorder="1" applyAlignment="1">
      <alignment horizontal="center" vertical="center" wrapText="1"/>
    </xf>
  </cellXfs>
  <cellStyles count="190">
    <cellStyle name="Comma" xfId="1" builtinId="3"/>
    <cellStyle name="Comma 2" xfId="5" xr:uid="{00000000-0005-0000-0000-000001000000}"/>
    <cellStyle name="Comma 2 2" xfId="11" xr:uid="{BB2B1AA4-30D5-476D-8408-4E6098E703F4}"/>
    <cellStyle name="Comma 3" xfId="12" xr:uid="{CCFB2B3F-EC70-4DDF-AFE4-CA3D81625AF6}"/>
    <cellStyle name="Comma 3 2" xfId="61" xr:uid="{81334557-63C0-4A92-A858-1ACB6110C890}"/>
    <cellStyle name="Comma 4" xfId="13" xr:uid="{8B187E6F-5D38-4D42-B291-83CCEDC942AF}"/>
    <cellStyle name="Comma 5" xfId="10" xr:uid="{A01770A8-273F-4EE4-AF63-78D8E6664A4D}"/>
    <cellStyle name="Comma 6" xfId="23" xr:uid="{0F0B15F2-E711-425F-AC15-6455FE4A917F}"/>
    <cellStyle name="Comma 6 2" xfId="26" xr:uid="{7EFCDBA7-CCD0-4B5D-8B3F-BB6942A3105D}"/>
    <cellStyle name="Comma 6 2 2" xfId="32" xr:uid="{AA2C45FB-9B2A-412D-A160-2ABBD3D9B395}"/>
    <cellStyle name="Comma 6 2 2 2" xfId="50" xr:uid="{1BB68BBA-094B-4EBE-8946-8FF7DEF2CF57}"/>
    <cellStyle name="Comma 6 2 2 2 2" xfId="95" xr:uid="{CA23538F-42D8-4298-8D6B-C92277D693F0}"/>
    <cellStyle name="Comma 6 2 2 2 2 2" xfId="177" xr:uid="{496DD143-946D-4D48-87FA-BF8527341205}"/>
    <cellStyle name="Comma 6 2 2 2 3" xfId="136" xr:uid="{5266F9FB-CB19-436A-AFE8-D5EF544ACAA2}"/>
    <cellStyle name="Comma 6 2 2 3" xfId="77" xr:uid="{D35573B1-9751-439F-A89F-152A0F2D308B}"/>
    <cellStyle name="Comma 6 2 2 3 2" xfId="159" xr:uid="{7ADD0A61-7E4C-46E0-AE62-3E95BAEBF3E6}"/>
    <cellStyle name="Comma 6 2 2 4" xfId="118" xr:uid="{BE786019-2F8E-4C94-9348-103A6E7D7D00}"/>
    <cellStyle name="Comma 6 2 3" xfId="38" xr:uid="{91062832-8EED-4CA1-A28F-2F5A4D4D06A7}"/>
    <cellStyle name="Comma 6 2 3 2" xfId="56" xr:uid="{EA7E984D-C973-4B6C-8FC8-8BD0DEC3B8FF}"/>
    <cellStyle name="Comma 6 2 3 2 2" xfId="101" xr:uid="{5DB09FD2-1129-4410-B5C8-1CBA2195F8BD}"/>
    <cellStyle name="Comma 6 2 3 2 2 2" xfId="183" xr:uid="{2AF5F0C1-9C45-49E1-A98D-D0327BE65C7C}"/>
    <cellStyle name="Comma 6 2 3 2 3" xfId="142" xr:uid="{8EB2A0DC-3ED2-4B15-8B24-96A96F4C91F0}"/>
    <cellStyle name="Comma 6 2 3 3" xfId="83" xr:uid="{57774250-4D4D-40D4-9C26-CF756D873E5D}"/>
    <cellStyle name="Comma 6 2 3 3 2" xfId="165" xr:uid="{4DD9E3D6-5C8E-4AFF-8D83-16BC2D0FB469}"/>
    <cellStyle name="Comma 6 2 3 4" xfId="124" xr:uid="{31E21E66-878C-4CCA-9EDE-4C74C671637D}"/>
    <cellStyle name="Comma 6 2 4" xfId="44" xr:uid="{C7AEEEFF-8225-4B36-B8AD-72E872643794}"/>
    <cellStyle name="Comma 6 2 4 2" xfId="89" xr:uid="{178E8F8B-7B43-4B6A-B165-F5251902B7D0}"/>
    <cellStyle name="Comma 6 2 4 2 2" xfId="171" xr:uid="{29704220-5C6A-42FF-9ED5-048B1D3747AD}"/>
    <cellStyle name="Comma 6 2 4 3" xfId="130" xr:uid="{DF078340-F7DE-4E5A-847E-5B83BE8B5F58}"/>
    <cellStyle name="Comma 6 2 5" xfId="71" xr:uid="{B611C40C-C68B-4B6F-B521-9E5862BEA820}"/>
    <cellStyle name="Comma 6 2 5 2" xfId="153" xr:uid="{14D47620-68A0-4A03-9FB6-AFD9ECC67558}"/>
    <cellStyle name="Comma 6 2 6" xfId="112" xr:uid="{C2ACF4C8-673D-49D4-832C-FEB0C6C12D8F}"/>
    <cellStyle name="Comma 6 3" xfId="29" xr:uid="{89A652A5-891D-4464-A066-BA99F139C48A}"/>
    <cellStyle name="Comma 6 3 2" xfId="47" xr:uid="{AC7AE432-817B-442A-9AF1-899D0CA013A1}"/>
    <cellStyle name="Comma 6 3 2 2" xfId="92" xr:uid="{9ECE00B8-E850-47F5-B266-86DD12EB3531}"/>
    <cellStyle name="Comma 6 3 2 2 2" xfId="174" xr:uid="{7B892E70-4895-4ACE-85D3-8B56176AAB77}"/>
    <cellStyle name="Comma 6 3 2 3" xfId="133" xr:uid="{63149C10-7AEE-4672-8067-89AF69744268}"/>
    <cellStyle name="Comma 6 3 3" xfId="74" xr:uid="{1B0A26F4-5BBE-489F-8915-6F30DC585582}"/>
    <cellStyle name="Comma 6 3 3 2" xfId="156" xr:uid="{6E2E6C42-95F8-4F32-8183-7AA86C9A7A3D}"/>
    <cellStyle name="Comma 6 3 4" xfId="115" xr:uid="{3C00E6F6-8149-4505-9B01-7DD2A9D66938}"/>
    <cellStyle name="Comma 6 4" xfId="35" xr:uid="{BA5D621D-FBDB-4599-98A0-B34568678FEF}"/>
    <cellStyle name="Comma 6 4 2" xfId="53" xr:uid="{54F86E79-E63B-4C78-ACEA-5D532E5DB63C}"/>
    <cellStyle name="Comma 6 4 2 2" xfId="98" xr:uid="{31BC5FBD-18F2-4C3A-99F5-1EF162D529BF}"/>
    <cellStyle name="Comma 6 4 2 2 2" xfId="180" xr:uid="{EB07C80F-88C6-4E75-BE37-1CEA584DC632}"/>
    <cellStyle name="Comma 6 4 2 3" xfId="139" xr:uid="{09BB4790-FC67-428F-88D9-F2D813B9F114}"/>
    <cellStyle name="Comma 6 4 3" xfId="80" xr:uid="{35F03D0C-9E09-47BC-B87C-AEF7232E5D75}"/>
    <cellStyle name="Comma 6 4 3 2" xfId="162" xr:uid="{AC72CF3C-0100-4043-B356-E8ED56BD6F20}"/>
    <cellStyle name="Comma 6 4 4" xfId="121" xr:uid="{ECAE67FB-628B-4FBC-B15D-B6C18CA783F1}"/>
    <cellStyle name="Comma 6 5" xfId="41" xr:uid="{CCDBDE68-D452-44EF-8060-5A774F6FADCB}"/>
    <cellStyle name="Comma 6 5 2" xfId="86" xr:uid="{6563044C-1A14-4537-BC33-A978347BB756}"/>
    <cellStyle name="Comma 6 5 2 2" xfId="168" xr:uid="{ECDE2643-CD7F-4EE8-9B43-5C978CECA415}"/>
    <cellStyle name="Comma 6 5 3" xfId="127" xr:uid="{3EECF635-4D13-4BF7-95CC-3B304AFE7DB2}"/>
    <cellStyle name="Comma 6 6" xfId="68" xr:uid="{71DCCEBF-066F-4D87-AB23-F2421944E53C}"/>
    <cellStyle name="Comma 6 6 2" xfId="150" xr:uid="{5E880961-03FB-4C5A-A3E6-FC0300E3F8AB}"/>
    <cellStyle name="Comma 6 7" xfId="109" xr:uid="{E39D92E6-314A-4374-AC32-DC98578DA69B}"/>
    <cellStyle name="Comma 7" xfId="65" xr:uid="{2BB990E7-F5DD-4B64-8537-4DA83D959EFF}"/>
    <cellStyle name="Comma 7 2" xfId="106" xr:uid="{3A6FDE8C-299D-477C-829C-CCDE829BCB8F}"/>
    <cellStyle name="Comma 7 2 2" xfId="188" xr:uid="{A109799A-9322-49AC-9092-C4ABBFAF53E6}"/>
    <cellStyle name="Comma 7 3" xfId="147" xr:uid="{7219FC1D-3E99-4372-B9B6-1DC53A3183CC}"/>
    <cellStyle name="Normal" xfId="0" builtinId="0"/>
    <cellStyle name="Normal 2" xfId="2" xr:uid="{00000000-0005-0000-0000-000003000000}"/>
    <cellStyle name="Normal 2 2" xfId="6" xr:uid="{00000000-0005-0000-0000-000004000000}"/>
    <cellStyle name="Normal 2 3" xfId="14" xr:uid="{27D5E17B-590F-4349-8972-1EB67CD75400}"/>
    <cellStyle name="Normal 3" xfId="3" xr:uid="{00000000-0005-0000-0000-000005000000}"/>
    <cellStyle name="Normal 3 2" xfId="15" xr:uid="{973654F6-059F-406C-B19C-CAFF686A5AC6}"/>
    <cellStyle name="Normal 3 2 2" xfId="60" xr:uid="{D1216169-13C2-41B6-8100-E219228B49BE}"/>
    <cellStyle name="Normal 3 3" xfId="58" xr:uid="{749D9DEE-3B89-4A0C-B173-81FE89FD7D44}"/>
    <cellStyle name="Normal 4" xfId="4" xr:uid="{00000000-0005-0000-0000-000006000000}"/>
    <cellStyle name="Normal 4 2" xfId="7" xr:uid="{54C81B10-B505-478C-B9F2-46F5C1106AF0}"/>
    <cellStyle name="Normal 4 2 2" xfId="17" xr:uid="{3643A1AD-D94A-411E-9E93-6C0497585EDE}"/>
    <cellStyle name="Normal 4 3" xfId="16" xr:uid="{49A56EA0-1BD9-4570-81FD-5A0699CC496A}"/>
    <cellStyle name="Normal 5" xfId="8" xr:uid="{6CF9FB8E-09C9-4D68-B6C1-F31B086E8005}"/>
    <cellStyle name="Normal 6" xfId="9" xr:uid="{9849E116-850C-4C17-8FCE-029FE6421605}"/>
    <cellStyle name="Normal 6 2" xfId="21" xr:uid="{9903B3B7-9BB0-4247-BC63-DA171F867D50}"/>
    <cellStyle name="Normal 6 3" xfId="24" xr:uid="{AEE4CBB1-CC0C-43C4-8E91-9560F6CAFA42}"/>
    <cellStyle name="Normal 6 3 2" xfId="27" xr:uid="{BEE21376-8457-40CC-BF11-E430F7AB3868}"/>
    <cellStyle name="Normal 6 3 2 2" xfId="33" xr:uid="{F8F4C558-84B9-48AD-B9F1-2A927A8A5CCC}"/>
    <cellStyle name="Normal 6 3 2 2 2" xfId="51" xr:uid="{A87A3396-D8A8-4FDB-A58C-D3A559ECBE74}"/>
    <cellStyle name="Normal 6 3 2 2 2 2" xfId="96" xr:uid="{8D8A3203-3469-4ABD-ADC7-CA0003F7126A}"/>
    <cellStyle name="Normal 6 3 2 2 2 2 2" xfId="178" xr:uid="{27AEA1B1-BFAF-4CBD-BB6C-0CEE36AC7605}"/>
    <cellStyle name="Normal 6 3 2 2 2 3" xfId="137" xr:uid="{FB0E33A0-0641-442B-83B9-FB44E3A1A9E3}"/>
    <cellStyle name="Normal 6 3 2 2 3" xfId="78" xr:uid="{FA955291-0A25-4BAE-9EFE-DE49D98221F4}"/>
    <cellStyle name="Normal 6 3 2 2 3 2" xfId="160" xr:uid="{F439817B-AFAF-466B-A067-C6C772BE1967}"/>
    <cellStyle name="Normal 6 3 2 2 4" xfId="119" xr:uid="{AA4BD179-300E-44BE-A758-4A9795405E5E}"/>
    <cellStyle name="Normal 6 3 2 3" xfId="39" xr:uid="{563C20F6-5F91-4292-84EA-41B921A53729}"/>
    <cellStyle name="Normal 6 3 2 3 2" xfId="57" xr:uid="{79EA9BA3-7A9B-4065-AE73-0DDB50B1A328}"/>
    <cellStyle name="Normal 6 3 2 3 2 2" xfId="102" xr:uid="{09018B79-46DE-4541-A6B3-33884B756043}"/>
    <cellStyle name="Normal 6 3 2 3 2 2 2" xfId="184" xr:uid="{5BF4217A-F542-44AC-A64A-30E89930FB9A}"/>
    <cellStyle name="Normal 6 3 2 3 2 3" xfId="143" xr:uid="{5FC251FA-6E6C-43A3-AF00-C96DC1DD0B4A}"/>
    <cellStyle name="Normal 6 3 2 3 3" xfId="84" xr:uid="{D8BF4542-E81A-47CC-BDF1-3FC8B85FF907}"/>
    <cellStyle name="Normal 6 3 2 3 3 2" xfId="166" xr:uid="{4C1BB8F7-0D52-4244-9959-94C15A77CBCB}"/>
    <cellStyle name="Normal 6 3 2 3 4" xfId="125" xr:uid="{0FFCE5AD-A170-4CEF-9735-C8B41278CF1E}"/>
    <cellStyle name="Normal 6 3 2 4" xfId="45" xr:uid="{72B83D93-6754-472E-B7AB-2A81DA2262F4}"/>
    <cellStyle name="Normal 6 3 2 4 2" xfId="90" xr:uid="{04A6ACD2-2F4E-4836-AD04-77C1F84AF998}"/>
    <cellStyle name="Normal 6 3 2 4 2 2" xfId="172" xr:uid="{4BAF6749-3E13-40E2-A589-172F2481A847}"/>
    <cellStyle name="Normal 6 3 2 4 3" xfId="131" xr:uid="{B0AA40C6-0770-4584-AACC-2D5DDF2788CA}"/>
    <cellStyle name="Normal 6 3 2 5" xfId="72" xr:uid="{BB287909-9767-45DE-AEEB-CFBF0FAE36F1}"/>
    <cellStyle name="Normal 6 3 2 5 2" xfId="154" xr:uid="{90FCA02A-BF03-4A26-9190-6E4B1BDE4952}"/>
    <cellStyle name="Normal 6 3 2 6" xfId="113" xr:uid="{4EC04170-C181-43F3-B05F-F5DBCF819618}"/>
    <cellStyle name="Normal 6 3 3" xfId="30" xr:uid="{F7A3EEB5-7D96-445F-B961-5BD4AB93C471}"/>
    <cellStyle name="Normal 6 3 3 2" xfId="48" xr:uid="{02652581-DA50-48FD-97BF-F6F23AF34201}"/>
    <cellStyle name="Normal 6 3 3 2 2" xfId="93" xr:uid="{96F8C6E6-B941-4272-BA6B-354D8652FE45}"/>
    <cellStyle name="Normal 6 3 3 2 2 2" xfId="175" xr:uid="{79B2EFEF-EFF3-411A-99CB-BDC03860C143}"/>
    <cellStyle name="Normal 6 3 3 2 3" xfId="134" xr:uid="{0BA65EE4-CC1D-47C5-ABD9-712EC982BD5C}"/>
    <cellStyle name="Normal 6 3 3 3" xfId="75" xr:uid="{5807551A-698D-4ECB-867D-ED5BEE99CDA2}"/>
    <cellStyle name="Normal 6 3 3 3 2" xfId="157" xr:uid="{A25D97EB-5C81-4FBE-A1BC-6CBA432E42F3}"/>
    <cellStyle name="Normal 6 3 3 4" xfId="116" xr:uid="{4B81D41B-8CA0-46F5-82BB-4E7DE9C47249}"/>
    <cellStyle name="Normal 6 3 4" xfId="36" xr:uid="{2071CB95-76CD-4941-9295-569FA24D858B}"/>
    <cellStyle name="Normal 6 3 4 2" xfId="54" xr:uid="{574E819D-43DB-428D-AECE-4C4B44F26EEB}"/>
    <cellStyle name="Normal 6 3 4 2 2" xfId="99" xr:uid="{51BA601C-029D-4F01-8452-4960FCF13F98}"/>
    <cellStyle name="Normal 6 3 4 2 2 2" xfId="181" xr:uid="{B8FEC37F-37CB-4BA4-B1CD-534A4D52940C}"/>
    <cellStyle name="Normal 6 3 4 2 3" xfId="140" xr:uid="{CF9465D9-3CCD-45D0-A3CD-58918D51DDD5}"/>
    <cellStyle name="Normal 6 3 4 3" xfId="81" xr:uid="{AE7295EC-5736-4CCF-9138-0332FCF0045A}"/>
    <cellStyle name="Normal 6 3 4 3 2" xfId="163" xr:uid="{DBE158A9-11D8-497C-860F-A7CF936C3CA5}"/>
    <cellStyle name="Normal 6 3 4 4" xfId="122" xr:uid="{10760EBE-E378-4FAD-96A7-4CFB7672F291}"/>
    <cellStyle name="Normal 6 3 5" xfId="42" xr:uid="{9DAB32FB-CAF1-4B8D-9C54-BEE0FDD5E8E3}"/>
    <cellStyle name="Normal 6 3 5 2" xfId="87" xr:uid="{E1F801AA-D263-4BE4-8D13-24A142EC39DA}"/>
    <cellStyle name="Normal 6 3 5 2 2" xfId="169" xr:uid="{DBDB0A81-206F-4EDD-8B76-BF08B939201F}"/>
    <cellStyle name="Normal 6 3 5 3" xfId="128" xr:uid="{7D6629D8-7466-4AA5-91CB-21B485878DDB}"/>
    <cellStyle name="Normal 6 3 6" xfId="66" xr:uid="{B33E4AD3-404F-4123-8C6E-B170387FAD0C}"/>
    <cellStyle name="Normal 6 3 6 2" xfId="107" xr:uid="{73F2C26E-B70D-4E06-90EC-DBD873AB624C}"/>
    <cellStyle name="Normal 6 3 6 2 2" xfId="189" xr:uid="{63B59C97-B28E-430A-BDDD-59E51C4BD08B}"/>
    <cellStyle name="Normal 6 3 6 3" xfId="148" xr:uid="{266AFA58-AD9B-4C2F-9FCF-A480C1B27937}"/>
    <cellStyle name="Normal 6 3 7" xfId="69" xr:uid="{5A965AFE-6572-4FB5-9C16-D0F58A51E3DC}"/>
    <cellStyle name="Normal 6 3 7 2" xfId="151" xr:uid="{F6CBD9B9-06AE-40FF-BB79-4A90DA10FF4B}"/>
    <cellStyle name="Normal 6 3 8" xfId="110" xr:uid="{C3197F1B-CD73-47CC-BAA8-78DC3BD80458}"/>
    <cellStyle name="Normal 6 4" xfId="59" xr:uid="{74DC145D-A4CA-4281-A14A-6A609D7D4770}"/>
    <cellStyle name="Normal 6 4 2" xfId="103" xr:uid="{EA9CBCC1-8AD8-4A5B-ADFA-199D384136F2}"/>
    <cellStyle name="Normal 6 4 2 2" xfId="185" xr:uid="{2CB11DF0-86D3-496E-B204-2121794A014C}"/>
    <cellStyle name="Normal 6 4 3" xfId="144" xr:uid="{9AE32144-5B14-4A6D-BAF2-06D07CC0E8FF}"/>
    <cellStyle name="Normal 6 5" xfId="63" xr:uid="{26672BA5-2012-420C-A4E5-220DBC190DD6}"/>
    <cellStyle name="Normal 6 5 2" xfId="104" xr:uid="{4CE4AA4C-AA8F-4B13-8E87-CD5DA34065E6}"/>
    <cellStyle name="Normal 6 5 2 2" xfId="186" xr:uid="{546C862B-851C-4248-9236-985C6CAC2E1B}"/>
    <cellStyle name="Normal 6 5 3" xfId="145" xr:uid="{8D8420F4-F683-47DC-9F70-DFF631202058}"/>
    <cellStyle name="Normal 7" xfId="22" xr:uid="{1FE22245-9563-4410-AD8E-C470ECA398B8}"/>
    <cellStyle name="Normal 7 2" xfId="25" xr:uid="{FD8BEC40-BF84-441A-8590-6634B793165B}"/>
    <cellStyle name="Normal 7 2 2" xfId="31" xr:uid="{4731990C-F9DD-49A7-91B8-22B06259CB7A}"/>
    <cellStyle name="Normal 7 2 2 2" xfId="49" xr:uid="{6F9B2891-73AD-44B4-85B1-8F7508C5B48C}"/>
    <cellStyle name="Normal 7 2 2 2 2" xfId="94" xr:uid="{66FA7596-4FBD-44EB-B07C-AD758A89FE44}"/>
    <cellStyle name="Normal 7 2 2 2 2 2" xfId="176" xr:uid="{4459CF77-7E43-4425-861C-EE2974A4B11C}"/>
    <cellStyle name="Normal 7 2 2 2 3" xfId="135" xr:uid="{B971B4B7-58C5-43BD-859D-EB58FBB7B2F4}"/>
    <cellStyle name="Normal 7 2 2 3" xfId="76" xr:uid="{07461FA1-EFEA-4D5B-B257-F510DFB98F66}"/>
    <cellStyle name="Normal 7 2 2 3 2" xfId="158" xr:uid="{3541C015-800F-497D-9930-9CC4511B713E}"/>
    <cellStyle name="Normal 7 2 2 4" xfId="117" xr:uid="{1ACCD858-D9D0-44E1-A674-CB8E752500A7}"/>
    <cellStyle name="Normal 7 2 3" xfId="37" xr:uid="{FF8E207C-EC2F-4C7C-A6F4-69A18E424FE8}"/>
    <cellStyle name="Normal 7 2 3 2" xfId="55" xr:uid="{E0A6317D-40AE-4061-ACAF-DD7488D97611}"/>
    <cellStyle name="Normal 7 2 3 2 2" xfId="100" xr:uid="{46AF2F72-14AC-4712-94EE-8EB29E6FF0EF}"/>
    <cellStyle name="Normal 7 2 3 2 2 2" xfId="182" xr:uid="{C879411A-4AEB-453B-8676-3381988D9EF2}"/>
    <cellStyle name="Normal 7 2 3 2 3" xfId="141" xr:uid="{268FDF61-B13C-4F7B-A395-E1017A2DE945}"/>
    <cellStyle name="Normal 7 2 3 3" xfId="82" xr:uid="{2364DB62-A332-4AB0-9134-038E9363CAB6}"/>
    <cellStyle name="Normal 7 2 3 3 2" xfId="164" xr:uid="{B0A941AD-E85D-4CEA-A0EA-123389D6DEED}"/>
    <cellStyle name="Normal 7 2 3 4" xfId="123" xr:uid="{B1E3C3FF-AF67-4035-91C0-9BE0458C8E36}"/>
    <cellStyle name="Normal 7 2 4" xfId="43" xr:uid="{8BB65FF4-CD68-4DC6-BC6B-B0A4ED294B69}"/>
    <cellStyle name="Normal 7 2 4 2" xfId="88" xr:uid="{F1692FD9-6C65-4734-9DAB-441BC1A6B03F}"/>
    <cellStyle name="Normal 7 2 4 2 2" xfId="170" xr:uid="{BA658809-8F79-4DE2-B675-2E3CF8664B9E}"/>
    <cellStyle name="Normal 7 2 4 3" xfId="129" xr:uid="{68E46777-EE86-4C3C-9D4E-62D9F6F8F90D}"/>
    <cellStyle name="Normal 7 2 5" xfId="70" xr:uid="{D90B0B4D-C611-4F60-A91D-6E4FE93208AB}"/>
    <cellStyle name="Normal 7 2 5 2" xfId="152" xr:uid="{B4D6BFBD-23FC-4BE9-BE32-7D4DE1E7D522}"/>
    <cellStyle name="Normal 7 2 6" xfId="111" xr:uid="{28534519-2B69-4DA4-B7B8-1C25038C42E9}"/>
    <cellStyle name="Normal 7 3" xfId="28" xr:uid="{913552DA-808B-4A93-AE44-5E924899791F}"/>
    <cellStyle name="Normal 7 3 2" xfId="46" xr:uid="{D182B059-2E98-4915-9E63-958E87D4FEFD}"/>
    <cellStyle name="Normal 7 3 2 2" xfId="91" xr:uid="{19B447D0-2150-4154-AA66-EFDFD0CB4ADA}"/>
    <cellStyle name="Normal 7 3 2 2 2" xfId="173" xr:uid="{B16CA3CB-C528-4E59-92AD-7240D047922B}"/>
    <cellStyle name="Normal 7 3 2 3" xfId="132" xr:uid="{3C27C92F-2003-4E47-9DCA-97F98C0FC3C0}"/>
    <cellStyle name="Normal 7 3 3" xfId="73" xr:uid="{E6C63623-7D1B-4085-B186-D8058038A44E}"/>
    <cellStyle name="Normal 7 3 3 2" xfId="155" xr:uid="{90CB520B-5989-453B-A0E9-A2BCB8F0E026}"/>
    <cellStyle name="Normal 7 3 4" xfId="114" xr:uid="{1159404A-B346-4182-ADD9-4B2DC47344A6}"/>
    <cellStyle name="Normal 7 4" xfId="34" xr:uid="{B8B7C53D-0B31-4A22-9EB3-E88425C64263}"/>
    <cellStyle name="Normal 7 4 2" xfId="52" xr:uid="{C8A933F9-345B-4689-A802-C5E3C175460B}"/>
    <cellStyle name="Normal 7 4 2 2" xfId="97" xr:uid="{7D7940D5-CEDA-4E20-97F4-4114E6965464}"/>
    <cellStyle name="Normal 7 4 2 2 2" xfId="179" xr:uid="{B36102B7-51AF-42E0-93BE-B9D62677D71F}"/>
    <cellStyle name="Normal 7 4 2 3" xfId="138" xr:uid="{8E6CF639-A9BC-4977-9E3C-123F6BD8725D}"/>
    <cellStyle name="Normal 7 4 3" xfId="79" xr:uid="{B3DE6A27-2B22-430E-A344-61AE9499DB2C}"/>
    <cellStyle name="Normal 7 4 3 2" xfId="161" xr:uid="{F48CF6D6-01D1-467B-9272-E3BB6767C377}"/>
    <cellStyle name="Normal 7 4 4" xfId="120" xr:uid="{3DE084C7-16DE-4F8E-95EB-E2B5159DBECC}"/>
    <cellStyle name="Normal 7 5" xfId="40" xr:uid="{1977F90F-42D6-4A30-BD37-EDB1632368C9}"/>
    <cellStyle name="Normal 7 5 2" xfId="85" xr:uid="{7C669139-FA31-4B96-AAC8-21BBFA161438}"/>
    <cellStyle name="Normal 7 5 2 2" xfId="167" xr:uid="{6003E083-BCEB-484E-A5D0-954254CB5C73}"/>
    <cellStyle name="Normal 7 5 3" xfId="126" xr:uid="{D5266648-4684-4560-8380-125A51C8EFB8}"/>
    <cellStyle name="Normal 7 6" xfId="67" xr:uid="{63B1F1DD-2660-46E3-92D3-C30C6EAB47AF}"/>
    <cellStyle name="Normal 7 6 2" xfId="149" xr:uid="{9C93D660-FAA6-4603-B9BB-3AF737449E54}"/>
    <cellStyle name="Normal 7 7" xfId="108" xr:uid="{B2F7DDBE-0229-4B8E-B742-ECE23F815952}"/>
    <cellStyle name="Normal 8" xfId="20" xr:uid="{1AFFEA39-6E6B-4B50-A3DF-A07B0A1083D6}"/>
    <cellStyle name="Normal 9" xfId="64" xr:uid="{8505D57E-9917-4987-96FC-A9F6B14C75B8}"/>
    <cellStyle name="Normal 9 2" xfId="105" xr:uid="{EC27639C-5477-4A0F-8A93-C7630026E26D}"/>
    <cellStyle name="Normal 9 2 2" xfId="187" xr:uid="{3B05E335-5E41-4B05-8191-759759CC5F45}"/>
    <cellStyle name="Normal 9 3" xfId="146" xr:uid="{D69F0539-E973-48FD-A9AF-A80522758D69}"/>
    <cellStyle name="Percent 2" xfId="18" xr:uid="{E30C01F8-5997-464E-A52B-88BE5D0B2532}"/>
    <cellStyle name="Percent 2 2" xfId="62" xr:uid="{BA0977AE-98F2-47B0-A13F-BCA418016394}"/>
    <cellStyle name="Percent 3" xfId="19" xr:uid="{483B82D7-DD01-4840-B7CB-16FEE0D26E79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CCECFF"/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LARY%202026\AUGUST.2026\Salary%2008.2026%20(&#3776;&#3738;&#3765;&#3713;&#3720;&#3784;&#3762;&#3725;).xlsx" TargetMode="External"/><Relationship Id="rId1" Type="http://schemas.openxmlformats.org/officeDocument/2006/relationships/externalLinkPath" Target="/SALARY%202026/AUGUST.2026/Salary%2008.2026%20(&#3776;&#3738;&#3765;&#3713;&#3720;&#3784;&#3762;&#3725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Yearly"/>
      <sheetName val="Data Setup"/>
      <sheetName val="index"/>
      <sheetName val="position"/>
      <sheetName val="Current way"/>
      <sheetName val="low "/>
      <sheetName val="Sheet4"/>
      <sheetName val="hi"/>
      <sheetName val="Pilot stucture"/>
      <sheetName val="Crew stucture"/>
      <sheetName val="Crew 2"/>
      <sheetName val="Data"/>
      <sheetName val="ຄູ່ຂະໜານ"/>
      <sheetName val="ຄູ່ຂະໜານສາຂາ"/>
      <sheetName val="HE"/>
      <sheetName val="BE"/>
      <sheetName val="Ground"/>
      <sheetName val="Crew"/>
      <sheetName val="TEX"/>
      <sheetName val="XKH"/>
      <sheetName val="ຊຽ່ວຊານ"/>
      <sheetName val="slip"/>
      <sheetName val="pilot on G"/>
      <sheetName val="for"/>
      <sheetName val="Sum"/>
      <sheetName val="VTE ATM"/>
      <sheetName val="Branch ATM"/>
      <sheetName val="Expat ATM"/>
      <sheetName val="Phongsiri"/>
      <sheetName val="ATM TOTAL"/>
      <sheetName val="cash"/>
      <sheetName val="TBsalary"/>
      <sheetName val="Tp"/>
      <sheetName val="BKK"/>
      <sheetName val="PBKK"/>
      <sheetName val="HAN"/>
      <sheetName val="PHAN"/>
      <sheetName val="SGN"/>
      <sheetName val="ICN"/>
      <sheetName val="PICN"/>
      <sheetName val="KMG"/>
      <sheetName val="PKMG"/>
      <sheetName val="CAN"/>
      <sheetName val="PCAN"/>
      <sheetName val="ເຊີນຕູ"/>
      <sheetName val="pເຊີນຕູ"/>
      <sheetName val="STAFFS"/>
      <sheetName val="Tax VTE"/>
      <sheetName val="Tax LPQ"/>
      <sheetName val="Tax Pkz"/>
      <sheetName val="Tax Xkh"/>
      <sheetName val="Tax ODY"/>
      <sheetName val="Tax LXG"/>
      <sheetName val="Tax ZVK"/>
      <sheetName val="Tax Hoe"/>
      <sheetName val="Total Ta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F10">
            <v>22324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9">
          <cell r="A9" t="str">
            <v>ປະຈຳເດືອນ ສິງຫາ (08) 2026</v>
          </cell>
        </row>
        <row r="16">
          <cell r="I16">
            <v>2812000</v>
          </cell>
          <cell r="K16">
            <v>130000</v>
          </cell>
          <cell r="L16">
            <v>750000</v>
          </cell>
          <cell r="N16">
            <v>4609863.4822700005</v>
          </cell>
          <cell r="P16">
            <v>4609863.4822700005</v>
          </cell>
          <cell r="R16">
            <v>0</v>
          </cell>
          <cell r="W16">
            <v>247500</v>
          </cell>
          <cell r="AH16">
            <v>20000</v>
          </cell>
        </row>
        <row r="17">
          <cell r="I17">
            <v>2812000</v>
          </cell>
          <cell r="K17">
            <v>130000</v>
          </cell>
          <cell r="L17">
            <v>520000</v>
          </cell>
          <cell r="N17">
            <v>4208147.5027999999</v>
          </cell>
          <cell r="P17">
            <v>4208147.5027999999</v>
          </cell>
          <cell r="R17">
            <v>0</v>
          </cell>
          <cell r="W17">
            <v>247500</v>
          </cell>
          <cell r="AH17">
            <v>20000</v>
          </cell>
        </row>
        <row r="27">
          <cell r="H27">
            <v>22324</v>
          </cell>
        </row>
        <row r="35">
          <cell r="H35">
            <v>3284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>
        <row r="7">
          <cell r="A7" t="str">
            <v>ປະຈຳເດືອນ ສິງຫາ (08) 2026</v>
          </cell>
        </row>
        <row r="12">
          <cell r="Q12">
            <v>677.14</v>
          </cell>
        </row>
      </sheetData>
      <sheetData sheetId="32"/>
      <sheetData sheetId="33">
        <row r="7">
          <cell r="A7" t="str">
            <v>ປະຈຳເດືອນ ສິງຫາ (08) 2026</v>
          </cell>
        </row>
        <row r="12">
          <cell r="T12">
            <v>677.14</v>
          </cell>
          <cell r="U12">
            <v>18672.990000000002</v>
          </cell>
          <cell r="W12">
            <v>31297.476208760374</v>
          </cell>
        </row>
        <row r="13">
          <cell r="T13">
            <v>677.14</v>
          </cell>
          <cell r="U13">
            <v>17146.82</v>
          </cell>
          <cell r="W13">
            <v>14698.647975307911</v>
          </cell>
        </row>
        <row r="15">
          <cell r="H15">
            <v>36129316.979999997</v>
          </cell>
          <cell r="J15">
            <v>0</v>
          </cell>
          <cell r="K15">
            <v>0</v>
          </cell>
          <cell r="M15">
            <v>36129316.979999997</v>
          </cell>
          <cell r="N15">
            <v>742500</v>
          </cell>
          <cell r="O15">
            <v>0</v>
          </cell>
          <cell r="P15">
            <v>35386816.979999997</v>
          </cell>
          <cell r="Q15">
            <v>60000</v>
          </cell>
          <cell r="R15">
            <v>0</v>
          </cell>
          <cell r="S15">
            <v>35326816.979999997</v>
          </cell>
          <cell r="U15">
            <v>52170.63</v>
          </cell>
        </row>
      </sheetData>
      <sheetData sheetId="34">
        <row r="11">
          <cell r="J11">
            <v>29.535989603331661</v>
          </cell>
        </row>
        <row r="12">
          <cell r="G12">
            <v>31297.476208760374</v>
          </cell>
        </row>
        <row r="13">
          <cell r="G13">
            <v>14698.647975307913</v>
          </cell>
        </row>
        <row r="15">
          <cell r="E15">
            <v>44431060.520000003</v>
          </cell>
          <cell r="G15">
            <v>65615.767079185985</v>
          </cell>
        </row>
      </sheetData>
      <sheetData sheetId="35">
        <row r="19">
          <cell r="H19">
            <v>107112959.18000001</v>
          </cell>
          <cell r="J19">
            <v>0</v>
          </cell>
          <cell r="K19">
            <v>0</v>
          </cell>
          <cell r="M19">
            <v>107112959.18000001</v>
          </cell>
          <cell r="N19">
            <v>495000</v>
          </cell>
          <cell r="O19">
            <v>0</v>
          </cell>
          <cell r="P19">
            <v>106617959.18000001</v>
          </cell>
          <cell r="Q19">
            <v>140000</v>
          </cell>
          <cell r="R19">
            <v>0</v>
          </cell>
          <cell r="S19">
            <v>106477959.18000001</v>
          </cell>
          <cell r="U19">
            <v>4769.6500000000005</v>
          </cell>
        </row>
      </sheetData>
      <sheetData sheetId="36">
        <row r="14">
          <cell r="E14">
            <v>27995837.030000001</v>
          </cell>
          <cell r="G14">
            <v>1254.0700000000002</v>
          </cell>
        </row>
      </sheetData>
      <sheetData sheetId="37">
        <row r="13">
          <cell r="F13">
            <v>17611312.000115562</v>
          </cell>
          <cell r="H13">
            <v>0</v>
          </cell>
          <cell r="I13">
            <v>0</v>
          </cell>
          <cell r="J13">
            <v>17611312.000115562</v>
          </cell>
          <cell r="K13">
            <v>0</v>
          </cell>
          <cell r="L13">
            <v>0</v>
          </cell>
          <cell r="M13">
            <v>17611312.000115562</v>
          </cell>
          <cell r="N13">
            <v>20000</v>
          </cell>
          <cell r="O13">
            <v>0</v>
          </cell>
          <cell r="P13">
            <v>17591312.000115562</v>
          </cell>
          <cell r="R13">
            <v>788.00000000517662</v>
          </cell>
        </row>
      </sheetData>
      <sheetData sheetId="38">
        <row r="14">
          <cell r="H14">
            <v>68706232.24000001</v>
          </cell>
          <cell r="J14">
            <v>0</v>
          </cell>
          <cell r="K14">
            <v>0</v>
          </cell>
          <cell r="M14">
            <v>68706232.24000001</v>
          </cell>
          <cell r="N14">
            <v>495000</v>
          </cell>
          <cell r="O14">
            <v>0</v>
          </cell>
          <cell r="P14">
            <v>68211232.24000001</v>
          </cell>
          <cell r="Q14">
            <v>40000</v>
          </cell>
          <cell r="R14">
            <v>0</v>
          </cell>
          <cell r="S14">
            <v>68171232.24000001</v>
          </cell>
          <cell r="U14">
            <v>3053.7194158752914</v>
          </cell>
        </row>
      </sheetData>
      <sheetData sheetId="39">
        <row r="14">
          <cell r="E14">
            <v>80466655.120000005</v>
          </cell>
          <cell r="G14">
            <v>3604.49</v>
          </cell>
        </row>
      </sheetData>
      <sheetData sheetId="40">
        <row r="15">
          <cell r="H15">
            <v>43963644.170000002</v>
          </cell>
          <cell r="J15">
            <v>0</v>
          </cell>
          <cell r="K15">
            <v>0</v>
          </cell>
          <cell r="M15">
            <v>43963644.170000002</v>
          </cell>
          <cell r="N15">
            <v>247500</v>
          </cell>
          <cell r="O15">
            <v>975334.41700000002</v>
          </cell>
          <cell r="P15">
            <v>42740809.75</v>
          </cell>
          <cell r="Q15">
            <v>60000</v>
          </cell>
          <cell r="R15">
            <v>0</v>
          </cell>
          <cell r="S15">
            <v>42680809.75</v>
          </cell>
          <cell r="U15">
            <v>12996.59</v>
          </cell>
        </row>
      </sheetData>
      <sheetData sheetId="41">
        <row r="13">
          <cell r="E13">
            <v>16761986.25</v>
          </cell>
          <cell r="G13">
            <v>5104.1400000000003</v>
          </cell>
        </row>
      </sheetData>
      <sheetData sheetId="42">
        <row r="12">
          <cell r="P12">
            <v>0</v>
          </cell>
        </row>
        <row r="15">
          <cell r="H15">
            <v>42165824.43</v>
          </cell>
          <cell r="J15">
            <v>0</v>
          </cell>
          <cell r="L15">
            <v>0</v>
          </cell>
          <cell r="M15">
            <v>0</v>
          </cell>
          <cell r="N15">
            <v>42165824.43</v>
          </cell>
          <cell r="O15">
            <v>495000</v>
          </cell>
          <cell r="Q15">
            <v>41670824.43</v>
          </cell>
          <cell r="R15">
            <v>60000</v>
          </cell>
          <cell r="S15">
            <v>0</v>
          </cell>
          <cell r="T15">
            <v>41610824.43</v>
          </cell>
          <cell r="V15">
            <v>12670.779999999999</v>
          </cell>
        </row>
      </sheetData>
      <sheetData sheetId="43">
        <row r="14">
          <cell r="E14">
            <v>34219131.57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100B-A706-4A9E-86E6-48603F373E38}">
  <sheetPr>
    <tabColor rgb="FF00B050"/>
  </sheetPr>
  <dimension ref="A1:G253"/>
  <sheetViews>
    <sheetView workbookViewId="0">
      <selection activeCell="I12" sqref="I12"/>
    </sheetView>
  </sheetViews>
  <sheetFormatPr defaultColWidth="9" defaultRowHeight="19.8" x14ac:dyDescent="0.6"/>
  <cols>
    <col min="1" max="1" width="19.109375" style="242" customWidth="1"/>
    <col min="2" max="2" width="12.5546875" style="245" customWidth="1"/>
    <col min="3" max="3" width="15.109375" style="257" customWidth="1"/>
    <col min="4" max="4" width="20.109375" style="243" hidden="1" customWidth="1"/>
    <col min="5" max="5" width="16" style="245" hidden="1" customWidth="1"/>
    <col min="6" max="6" width="17.88671875" style="245" customWidth="1"/>
    <col min="7" max="7" width="11.6640625" style="245" bestFit="1" customWidth="1"/>
    <col min="8" max="16384" width="9" style="245"/>
  </cols>
  <sheetData>
    <row r="1" spans="1:7" x14ac:dyDescent="0.6">
      <c r="B1" s="243"/>
      <c r="C1" s="244"/>
      <c r="E1" s="243"/>
    </row>
    <row r="2" spans="1:7" x14ac:dyDescent="0.6">
      <c r="A2" s="246" t="s">
        <v>201</v>
      </c>
      <c r="B2" s="247"/>
      <c r="C2" s="248"/>
      <c r="D2" s="242" t="s">
        <v>12</v>
      </c>
      <c r="E2" s="243" t="s">
        <v>202</v>
      </c>
    </row>
    <row r="3" spans="1:7" ht="27" customHeight="1" x14ac:dyDescent="0.6">
      <c r="A3" s="249" t="s">
        <v>203</v>
      </c>
      <c r="B3" s="250" t="s">
        <v>204</v>
      </c>
      <c r="C3" s="251">
        <v>9500</v>
      </c>
      <c r="E3" s="243"/>
    </row>
    <row r="4" spans="1:7" x14ac:dyDescent="0.6">
      <c r="A4" s="252" t="s">
        <v>205</v>
      </c>
      <c r="B4" s="253">
        <v>260</v>
      </c>
      <c r="C4" s="251">
        <f>B4*$C$3</f>
        <v>2470000</v>
      </c>
      <c r="D4" s="254">
        <v>4200000</v>
      </c>
      <c r="E4" s="243">
        <v>0</v>
      </c>
    </row>
    <row r="5" spans="1:7" x14ac:dyDescent="0.6">
      <c r="A5" s="252" t="s">
        <v>206</v>
      </c>
      <c r="B5" s="253">
        <v>261</v>
      </c>
      <c r="C5" s="251">
        <f>B5*$C$3</f>
        <v>2479500</v>
      </c>
      <c r="D5" s="254">
        <f>+D4*90%</f>
        <v>3780000</v>
      </c>
      <c r="E5" s="243">
        <v>1</v>
      </c>
    </row>
    <row r="6" spans="1:7" x14ac:dyDescent="0.6">
      <c r="A6" s="252" t="s">
        <v>207</v>
      </c>
      <c r="B6" s="253">
        <v>262</v>
      </c>
      <c r="C6" s="251">
        <f t="shared" ref="C6:C69" si="0">B6*$C$3</f>
        <v>2489000</v>
      </c>
      <c r="D6" s="254">
        <f>D4*80%</f>
        <v>3360000</v>
      </c>
      <c r="E6" s="243">
        <v>2</v>
      </c>
    </row>
    <row r="7" spans="1:7" x14ac:dyDescent="0.6">
      <c r="A7" s="252" t="s">
        <v>208</v>
      </c>
      <c r="B7" s="253">
        <v>263</v>
      </c>
      <c r="C7" s="251">
        <f t="shared" si="0"/>
        <v>2498500</v>
      </c>
      <c r="D7" s="254">
        <v>2000000</v>
      </c>
      <c r="E7" s="243">
        <v>3</v>
      </c>
    </row>
    <row r="8" spans="1:7" x14ac:dyDescent="0.6">
      <c r="A8" s="252" t="s">
        <v>209</v>
      </c>
      <c r="B8" s="253">
        <v>264</v>
      </c>
      <c r="C8" s="251">
        <f t="shared" si="0"/>
        <v>2508000</v>
      </c>
      <c r="D8" s="254">
        <v>1600000</v>
      </c>
      <c r="E8" s="243">
        <v>4</v>
      </c>
      <c r="G8" s="255"/>
    </row>
    <row r="9" spans="1:7" x14ac:dyDescent="0.6">
      <c r="A9" s="252" t="s">
        <v>210</v>
      </c>
      <c r="B9" s="253">
        <v>265</v>
      </c>
      <c r="C9" s="251">
        <f t="shared" si="0"/>
        <v>2517500</v>
      </c>
      <c r="D9" s="254">
        <v>1300000</v>
      </c>
      <c r="E9" s="243">
        <v>5</v>
      </c>
    </row>
    <row r="10" spans="1:7" x14ac:dyDescent="0.6">
      <c r="A10" s="252" t="s">
        <v>211</v>
      </c>
      <c r="B10" s="253">
        <v>266</v>
      </c>
      <c r="C10" s="251">
        <f t="shared" si="0"/>
        <v>2527000</v>
      </c>
      <c r="D10" s="254">
        <v>1040000</v>
      </c>
      <c r="E10" s="243">
        <v>6</v>
      </c>
    </row>
    <row r="11" spans="1:7" x14ac:dyDescent="0.6">
      <c r="A11" s="252" t="s">
        <v>212</v>
      </c>
      <c r="B11" s="253">
        <v>267</v>
      </c>
      <c r="C11" s="251">
        <f t="shared" si="0"/>
        <v>2536500</v>
      </c>
      <c r="D11" s="254">
        <v>900000</v>
      </c>
      <c r="E11" s="243">
        <v>7</v>
      </c>
    </row>
    <row r="12" spans="1:7" x14ac:dyDescent="0.6">
      <c r="A12" s="252" t="s">
        <v>213</v>
      </c>
      <c r="B12" s="253">
        <v>268</v>
      </c>
      <c r="C12" s="251">
        <f t="shared" si="0"/>
        <v>2546000</v>
      </c>
      <c r="D12" s="254">
        <f>+D11*80%</f>
        <v>720000</v>
      </c>
      <c r="E12" s="243">
        <v>8</v>
      </c>
    </row>
    <row r="13" spans="1:7" x14ac:dyDescent="0.6">
      <c r="A13" s="252" t="s">
        <v>214</v>
      </c>
      <c r="B13" s="253">
        <v>269</v>
      </c>
      <c r="C13" s="251">
        <f t="shared" si="0"/>
        <v>2555500</v>
      </c>
      <c r="D13" s="254">
        <v>1400000</v>
      </c>
      <c r="E13" s="243">
        <v>9</v>
      </c>
    </row>
    <row r="14" spans="1:7" x14ac:dyDescent="0.6">
      <c r="A14" s="252" t="s">
        <v>215</v>
      </c>
      <c r="B14" s="253">
        <v>270</v>
      </c>
      <c r="C14" s="251">
        <f t="shared" si="0"/>
        <v>2565000</v>
      </c>
      <c r="D14" s="254">
        <v>1120000</v>
      </c>
      <c r="E14" s="243">
        <v>10</v>
      </c>
    </row>
    <row r="15" spans="1:7" x14ac:dyDescent="0.6">
      <c r="A15" s="252" t="s">
        <v>216</v>
      </c>
      <c r="B15" s="253">
        <v>271</v>
      </c>
      <c r="C15" s="251">
        <f t="shared" si="0"/>
        <v>2574500</v>
      </c>
      <c r="D15" s="254">
        <v>910000</v>
      </c>
      <c r="E15" s="243">
        <v>11</v>
      </c>
    </row>
    <row r="16" spans="1:7" x14ac:dyDescent="0.6">
      <c r="A16" s="252" t="s">
        <v>217</v>
      </c>
      <c r="B16" s="253">
        <v>272</v>
      </c>
      <c r="C16" s="251">
        <f t="shared" si="0"/>
        <v>2584000</v>
      </c>
      <c r="D16" s="254">
        <v>728000</v>
      </c>
      <c r="E16" s="243">
        <v>12</v>
      </c>
    </row>
    <row r="17" spans="1:5" x14ac:dyDescent="0.6">
      <c r="A17" s="252" t="s">
        <v>218</v>
      </c>
      <c r="B17" s="253">
        <v>273</v>
      </c>
      <c r="C17" s="251">
        <f t="shared" si="0"/>
        <v>2593500</v>
      </c>
      <c r="D17" s="254">
        <v>630000</v>
      </c>
      <c r="E17" s="243">
        <v>13</v>
      </c>
    </row>
    <row r="18" spans="1:5" x14ac:dyDescent="0.6">
      <c r="A18" s="252" t="s">
        <v>219</v>
      </c>
      <c r="B18" s="253">
        <v>274</v>
      </c>
      <c r="C18" s="251">
        <f t="shared" si="0"/>
        <v>2603000</v>
      </c>
      <c r="D18" s="254">
        <v>504000</v>
      </c>
      <c r="E18" s="243">
        <v>14</v>
      </c>
    </row>
    <row r="19" spans="1:5" x14ac:dyDescent="0.6">
      <c r="A19" s="252" t="s">
        <v>220</v>
      </c>
      <c r="B19" s="253">
        <v>268</v>
      </c>
      <c r="C19" s="251">
        <f t="shared" si="0"/>
        <v>2546000</v>
      </c>
      <c r="D19" s="243">
        <v>0</v>
      </c>
      <c r="E19" s="243">
        <v>15</v>
      </c>
    </row>
    <row r="20" spans="1:5" x14ac:dyDescent="0.6">
      <c r="A20" s="252" t="s">
        <v>221</v>
      </c>
      <c r="B20" s="253">
        <v>269</v>
      </c>
      <c r="C20" s="251">
        <f t="shared" si="0"/>
        <v>2555500</v>
      </c>
      <c r="E20" s="243">
        <v>16</v>
      </c>
    </row>
    <row r="21" spans="1:5" x14ac:dyDescent="0.6">
      <c r="A21" s="252" t="s">
        <v>222</v>
      </c>
      <c r="B21" s="253">
        <v>270</v>
      </c>
      <c r="C21" s="251">
        <f t="shared" si="0"/>
        <v>2565000</v>
      </c>
      <c r="E21" s="243">
        <v>17</v>
      </c>
    </row>
    <row r="22" spans="1:5" x14ac:dyDescent="0.6">
      <c r="A22" s="252" t="s">
        <v>223</v>
      </c>
      <c r="B22" s="253">
        <v>271</v>
      </c>
      <c r="C22" s="251">
        <f t="shared" si="0"/>
        <v>2574500</v>
      </c>
      <c r="E22" s="243">
        <v>18</v>
      </c>
    </row>
    <row r="23" spans="1:5" x14ac:dyDescent="0.6">
      <c r="A23" s="252" t="s">
        <v>224</v>
      </c>
      <c r="B23" s="253">
        <v>272</v>
      </c>
      <c r="C23" s="251">
        <f t="shared" si="0"/>
        <v>2584000</v>
      </c>
      <c r="E23" s="243">
        <v>19</v>
      </c>
    </row>
    <row r="24" spans="1:5" x14ac:dyDescent="0.6">
      <c r="A24" s="252" t="s">
        <v>225</v>
      </c>
      <c r="B24" s="253">
        <v>273</v>
      </c>
      <c r="C24" s="251">
        <f t="shared" si="0"/>
        <v>2593500</v>
      </c>
      <c r="E24" s="243">
        <v>20</v>
      </c>
    </row>
    <row r="25" spans="1:5" x14ac:dyDescent="0.6">
      <c r="A25" s="252" t="s">
        <v>226</v>
      </c>
      <c r="B25" s="253">
        <v>274</v>
      </c>
      <c r="C25" s="251">
        <f t="shared" si="0"/>
        <v>2603000</v>
      </c>
      <c r="E25" s="243">
        <v>21</v>
      </c>
    </row>
    <row r="26" spans="1:5" x14ac:dyDescent="0.6">
      <c r="A26" s="252" t="s">
        <v>227</v>
      </c>
      <c r="B26" s="253">
        <v>275</v>
      </c>
      <c r="C26" s="251">
        <f t="shared" si="0"/>
        <v>2612500</v>
      </c>
      <c r="E26" s="243">
        <v>22</v>
      </c>
    </row>
    <row r="27" spans="1:5" x14ac:dyDescent="0.6">
      <c r="A27" s="252" t="s">
        <v>228</v>
      </c>
      <c r="B27" s="253">
        <v>276</v>
      </c>
      <c r="C27" s="251">
        <f t="shared" si="0"/>
        <v>2622000</v>
      </c>
      <c r="E27" s="243">
        <v>23</v>
      </c>
    </row>
    <row r="28" spans="1:5" x14ac:dyDescent="0.6">
      <c r="A28" s="252" t="s">
        <v>229</v>
      </c>
      <c r="B28" s="253">
        <v>277</v>
      </c>
      <c r="C28" s="251">
        <f t="shared" si="0"/>
        <v>2631500</v>
      </c>
      <c r="E28" s="243">
        <v>24</v>
      </c>
    </row>
    <row r="29" spans="1:5" x14ac:dyDescent="0.6">
      <c r="A29" s="252" t="s">
        <v>230</v>
      </c>
      <c r="B29" s="253">
        <v>278</v>
      </c>
      <c r="C29" s="251">
        <f t="shared" si="0"/>
        <v>2641000</v>
      </c>
      <c r="E29" s="243">
        <v>25</v>
      </c>
    </row>
    <row r="30" spans="1:5" x14ac:dyDescent="0.6">
      <c r="A30" s="252" t="s">
        <v>231</v>
      </c>
      <c r="B30" s="253">
        <v>279</v>
      </c>
      <c r="C30" s="251">
        <f t="shared" si="0"/>
        <v>2650500</v>
      </c>
      <c r="E30" s="243">
        <v>26</v>
      </c>
    </row>
    <row r="31" spans="1:5" x14ac:dyDescent="0.6">
      <c r="A31" s="252" t="s">
        <v>232</v>
      </c>
      <c r="B31" s="253">
        <v>280</v>
      </c>
      <c r="C31" s="251">
        <f t="shared" si="0"/>
        <v>2660000</v>
      </c>
      <c r="E31" s="243">
        <v>27</v>
      </c>
    </row>
    <row r="32" spans="1:5" x14ac:dyDescent="0.6">
      <c r="A32" s="252" t="s">
        <v>233</v>
      </c>
      <c r="B32" s="253">
        <v>281</v>
      </c>
      <c r="C32" s="251">
        <f t="shared" si="0"/>
        <v>2669500</v>
      </c>
      <c r="E32" s="243">
        <v>28</v>
      </c>
    </row>
    <row r="33" spans="1:5" x14ac:dyDescent="0.6">
      <c r="A33" s="252" t="s">
        <v>234</v>
      </c>
      <c r="B33" s="253">
        <v>282</v>
      </c>
      <c r="C33" s="251">
        <f t="shared" si="0"/>
        <v>2679000</v>
      </c>
      <c r="E33" s="243">
        <v>29</v>
      </c>
    </row>
    <row r="34" spans="1:5" x14ac:dyDescent="0.6">
      <c r="A34" s="252" t="s">
        <v>235</v>
      </c>
      <c r="B34" s="253">
        <v>276</v>
      </c>
      <c r="C34" s="251">
        <f t="shared" si="0"/>
        <v>2622000</v>
      </c>
      <c r="E34" s="243">
        <v>30</v>
      </c>
    </row>
    <row r="35" spans="1:5" x14ac:dyDescent="0.6">
      <c r="A35" s="252" t="s">
        <v>236</v>
      </c>
      <c r="B35" s="253">
        <v>277</v>
      </c>
      <c r="C35" s="251">
        <f t="shared" si="0"/>
        <v>2631500</v>
      </c>
      <c r="E35" s="243">
        <v>31</v>
      </c>
    </row>
    <row r="36" spans="1:5" x14ac:dyDescent="0.6">
      <c r="A36" s="252" t="s">
        <v>237</v>
      </c>
      <c r="B36" s="253">
        <v>278</v>
      </c>
      <c r="C36" s="251">
        <f t="shared" si="0"/>
        <v>2641000</v>
      </c>
      <c r="E36" s="243">
        <v>32</v>
      </c>
    </row>
    <row r="37" spans="1:5" x14ac:dyDescent="0.6">
      <c r="A37" s="252" t="s">
        <v>238</v>
      </c>
      <c r="B37" s="253">
        <v>279</v>
      </c>
      <c r="C37" s="251">
        <f t="shared" si="0"/>
        <v>2650500</v>
      </c>
      <c r="E37" s="243">
        <v>33</v>
      </c>
    </row>
    <row r="38" spans="1:5" x14ac:dyDescent="0.6">
      <c r="A38" s="252" t="s">
        <v>239</v>
      </c>
      <c r="B38" s="253">
        <v>280</v>
      </c>
      <c r="C38" s="251">
        <f t="shared" si="0"/>
        <v>2660000</v>
      </c>
      <c r="E38" s="243">
        <v>34</v>
      </c>
    </row>
    <row r="39" spans="1:5" x14ac:dyDescent="0.6">
      <c r="A39" s="252" t="s">
        <v>240</v>
      </c>
      <c r="B39" s="253">
        <v>281</v>
      </c>
      <c r="C39" s="251">
        <f t="shared" si="0"/>
        <v>2669500</v>
      </c>
      <c r="E39" s="243">
        <v>35</v>
      </c>
    </row>
    <row r="40" spans="1:5" x14ac:dyDescent="0.6">
      <c r="A40" s="252" t="s">
        <v>241</v>
      </c>
      <c r="B40" s="253">
        <v>282</v>
      </c>
      <c r="C40" s="251">
        <f t="shared" si="0"/>
        <v>2679000</v>
      </c>
      <c r="E40" s="243">
        <v>36</v>
      </c>
    </row>
    <row r="41" spans="1:5" x14ac:dyDescent="0.6">
      <c r="A41" s="252" t="s">
        <v>242</v>
      </c>
      <c r="B41" s="253">
        <v>284</v>
      </c>
      <c r="C41" s="251">
        <f t="shared" si="0"/>
        <v>2698000</v>
      </c>
      <c r="E41" s="243">
        <v>37</v>
      </c>
    </row>
    <row r="42" spans="1:5" x14ac:dyDescent="0.6">
      <c r="A42" s="252" t="s">
        <v>243</v>
      </c>
      <c r="B42" s="253">
        <v>286</v>
      </c>
      <c r="C42" s="251">
        <f t="shared" si="0"/>
        <v>2717000</v>
      </c>
      <c r="E42" s="243">
        <v>38</v>
      </c>
    </row>
    <row r="43" spans="1:5" x14ac:dyDescent="0.6">
      <c r="A43" s="252" t="s">
        <v>244</v>
      </c>
      <c r="B43" s="253">
        <v>288</v>
      </c>
      <c r="C43" s="251">
        <f t="shared" si="0"/>
        <v>2736000</v>
      </c>
      <c r="E43" s="243">
        <v>39</v>
      </c>
    </row>
    <row r="44" spans="1:5" x14ac:dyDescent="0.6">
      <c r="A44" s="252" t="s">
        <v>245</v>
      </c>
      <c r="B44" s="253">
        <v>290</v>
      </c>
      <c r="C44" s="251">
        <f t="shared" si="0"/>
        <v>2755000</v>
      </c>
      <c r="E44" s="243">
        <v>40</v>
      </c>
    </row>
    <row r="45" spans="1:5" x14ac:dyDescent="0.6">
      <c r="A45" s="252" t="s">
        <v>246</v>
      </c>
      <c r="B45" s="253">
        <v>292</v>
      </c>
      <c r="C45" s="251">
        <f t="shared" si="0"/>
        <v>2774000</v>
      </c>
      <c r="E45" s="243">
        <v>41</v>
      </c>
    </row>
    <row r="46" spans="1:5" x14ac:dyDescent="0.6">
      <c r="A46" s="252" t="s">
        <v>247</v>
      </c>
      <c r="B46" s="253">
        <v>294</v>
      </c>
      <c r="C46" s="251">
        <f t="shared" si="0"/>
        <v>2793000</v>
      </c>
      <c r="E46" s="243">
        <v>42</v>
      </c>
    </row>
    <row r="47" spans="1:5" x14ac:dyDescent="0.6">
      <c r="A47" s="252" t="s">
        <v>248</v>
      </c>
      <c r="B47" s="253">
        <v>296</v>
      </c>
      <c r="C47" s="251">
        <f t="shared" si="0"/>
        <v>2812000</v>
      </c>
      <c r="E47" s="243">
        <v>43</v>
      </c>
    </row>
    <row r="48" spans="1:5" x14ac:dyDescent="0.6">
      <c r="A48" s="252" t="s">
        <v>249</v>
      </c>
      <c r="B48" s="253">
        <v>298</v>
      </c>
      <c r="C48" s="251">
        <f t="shared" si="0"/>
        <v>2831000</v>
      </c>
      <c r="E48" s="243">
        <v>44</v>
      </c>
    </row>
    <row r="49" spans="1:6" x14ac:dyDescent="0.6">
      <c r="A49" s="252" t="s">
        <v>250</v>
      </c>
      <c r="B49" s="253">
        <v>286</v>
      </c>
      <c r="C49" s="251">
        <f t="shared" si="0"/>
        <v>2717000</v>
      </c>
      <c r="E49" s="243">
        <v>45</v>
      </c>
    </row>
    <row r="50" spans="1:6" x14ac:dyDescent="0.6">
      <c r="A50" s="252" t="s">
        <v>251</v>
      </c>
      <c r="B50" s="253">
        <v>288</v>
      </c>
      <c r="C50" s="251">
        <f t="shared" si="0"/>
        <v>2736000</v>
      </c>
      <c r="E50" s="243">
        <v>46</v>
      </c>
    </row>
    <row r="51" spans="1:6" x14ac:dyDescent="0.6">
      <c r="A51" s="252" t="s">
        <v>252</v>
      </c>
      <c r="B51" s="253">
        <v>290</v>
      </c>
      <c r="C51" s="251">
        <f t="shared" si="0"/>
        <v>2755000</v>
      </c>
      <c r="E51" s="243">
        <v>47</v>
      </c>
    </row>
    <row r="52" spans="1:6" x14ac:dyDescent="0.6">
      <c r="A52" s="252" t="s">
        <v>253</v>
      </c>
      <c r="B52" s="253">
        <v>292</v>
      </c>
      <c r="C52" s="251">
        <f t="shared" si="0"/>
        <v>2774000</v>
      </c>
      <c r="E52" s="243">
        <v>48</v>
      </c>
    </row>
    <row r="53" spans="1:6" x14ac:dyDescent="0.6">
      <c r="A53" s="252" t="s">
        <v>254</v>
      </c>
      <c r="B53" s="253">
        <v>294</v>
      </c>
      <c r="C53" s="251">
        <f t="shared" si="0"/>
        <v>2793000</v>
      </c>
      <c r="E53" s="243">
        <v>49</v>
      </c>
    </row>
    <row r="54" spans="1:6" x14ac:dyDescent="0.6">
      <c r="A54" s="252" t="s">
        <v>6</v>
      </c>
      <c r="B54" s="253">
        <v>296</v>
      </c>
      <c r="C54" s="251">
        <f t="shared" si="0"/>
        <v>2812000</v>
      </c>
      <c r="E54" s="243">
        <v>50</v>
      </c>
    </row>
    <row r="55" spans="1:6" x14ac:dyDescent="0.6">
      <c r="A55" s="252" t="s">
        <v>255</v>
      </c>
      <c r="B55" s="253">
        <v>298</v>
      </c>
      <c r="C55" s="251">
        <f t="shared" si="0"/>
        <v>2831000</v>
      </c>
      <c r="E55" s="243">
        <v>51</v>
      </c>
      <c r="F55" s="255">
        <f>+C53-C50</f>
        <v>57000</v>
      </c>
    </row>
    <row r="56" spans="1:6" x14ac:dyDescent="0.6">
      <c r="A56" s="252" t="s">
        <v>7</v>
      </c>
      <c r="B56" s="253">
        <v>303</v>
      </c>
      <c r="C56" s="251">
        <f t="shared" si="0"/>
        <v>2878500</v>
      </c>
      <c r="E56" s="243">
        <v>52</v>
      </c>
    </row>
    <row r="57" spans="1:6" x14ac:dyDescent="0.6">
      <c r="A57" s="252" t="s">
        <v>8</v>
      </c>
      <c r="B57" s="253">
        <v>308</v>
      </c>
      <c r="C57" s="251">
        <f t="shared" si="0"/>
        <v>2926000</v>
      </c>
      <c r="E57" s="243">
        <v>53</v>
      </c>
    </row>
    <row r="58" spans="1:6" x14ac:dyDescent="0.6">
      <c r="A58" s="252" t="s">
        <v>256</v>
      </c>
      <c r="B58" s="253">
        <v>313</v>
      </c>
      <c r="C58" s="251">
        <f t="shared" si="0"/>
        <v>2973500</v>
      </c>
      <c r="E58" s="243">
        <v>54</v>
      </c>
    </row>
    <row r="59" spans="1:6" x14ac:dyDescent="0.6">
      <c r="A59" s="252" t="s">
        <v>257</v>
      </c>
      <c r="B59" s="253">
        <v>318</v>
      </c>
      <c r="C59" s="251">
        <f t="shared" si="0"/>
        <v>3021000</v>
      </c>
      <c r="E59" s="243">
        <v>55</v>
      </c>
    </row>
    <row r="60" spans="1:6" x14ac:dyDescent="0.6">
      <c r="A60" s="252" t="s">
        <v>258</v>
      </c>
      <c r="B60" s="253">
        <v>323</v>
      </c>
      <c r="C60" s="251">
        <f t="shared" si="0"/>
        <v>3068500</v>
      </c>
      <c r="E60" s="243">
        <v>56</v>
      </c>
    </row>
    <row r="61" spans="1:6" x14ac:dyDescent="0.6">
      <c r="A61" s="252" t="s">
        <v>259</v>
      </c>
      <c r="B61" s="253">
        <v>328</v>
      </c>
      <c r="C61" s="251">
        <f t="shared" si="0"/>
        <v>3116000</v>
      </c>
      <c r="E61" s="243">
        <v>57</v>
      </c>
    </row>
    <row r="62" spans="1:6" x14ac:dyDescent="0.6">
      <c r="A62" s="252" t="s">
        <v>9</v>
      </c>
      <c r="B62" s="253">
        <v>333</v>
      </c>
      <c r="C62" s="251">
        <f t="shared" si="0"/>
        <v>3163500</v>
      </c>
      <c r="E62" s="243">
        <v>58</v>
      </c>
    </row>
    <row r="63" spans="1:6" x14ac:dyDescent="0.6">
      <c r="A63" s="252" t="s">
        <v>10</v>
      </c>
      <c r="B63" s="253">
        <v>338</v>
      </c>
      <c r="C63" s="251">
        <f t="shared" si="0"/>
        <v>3211000</v>
      </c>
      <c r="E63" s="243">
        <v>59</v>
      </c>
    </row>
    <row r="64" spans="1:6" x14ac:dyDescent="0.6">
      <c r="A64" s="252" t="s">
        <v>260</v>
      </c>
      <c r="B64" s="253">
        <v>308</v>
      </c>
      <c r="C64" s="251">
        <f t="shared" si="0"/>
        <v>2926000</v>
      </c>
      <c r="E64" s="243">
        <v>60</v>
      </c>
    </row>
    <row r="65" spans="1:5" x14ac:dyDescent="0.6">
      <c r="A65" s="252" t="s">
        <v>261</v>
      </c>
      <c r="B65" s="253">
        <v>313</v>
      </c>
      <c r="C65" s="251">
        <f t="shared" si="0"/>
        <v>2973500</v>
      </c>
      <c r="E65" s="243">
        <v>61</v>
      </c>
    </row>
    <row r="66" spans="1:5" x14ac:dyDescent="0.6">
      <c r="A66" s="252" t="s">
        <v>262</v>
      </c>
      <c r="B66" s="253">
        <v>318</v>
      </c>
      <c r="C66" s="251">
        <f t="shared" si="0"/>
        <v>3021000</v>
      </c>
      <c r="E66" s="243">
        <v>62</v>
      </c>
    </row>
    <row r="67" spans="1:5" x14ac:dyDescent="0.6">
      <c r="A67" s="252" t="s">
        <v>263</v>
      </c>
      <c r="B67" s="253">
        <v>323</v>
      </c>
      <c r="C67" s="251">
        <f t="shared" si="0"/>
        <v>3068500</v>
      </c>
      <c r="E67" s="243">
        <v>63</v>
      </c>
    </row>
    <row r="68" spans="1:5" x14ac:dyDescent="0.6">
      <c r="A68" s="252" t="s">
        <v>264</v>
      </c>
      <c r="B68" s="253">
        <v>328</v>
      </c>
      <c r="C68" s="251">
        <f t="shared" si="0"/>
        <v>3116000</v>
      </c>
      <c r="E68" s="243">
        <v>64</v>
      </c>
    </row>
    <row r="69" spans="1:5" x14ac:dyDescent="0.6">
      <c r="A69" s="252" t="s">
        <v>265</v>
      </c>
      <c r="B69" s="253">
        <v>333</v>
      </c>
      <c r="C69" s="251">
        <f t="shared" si="0"/>
        <v>3163500</v>
      </c>
      <c r="E69" s="243">
        <v>65</v>
      </c>
    </row>
    <row r="70" spans="1:5" x14ac:dyDescent="0.6">
      <c r="A70" s="252" t="s">
        <v>266</v>
      </c>
      <c r="B70" s="253">
        <v>338</v>
      </c>
      <c r="C70" s="251">
        <f t="shared" ref="C70:C85" si="1">B70*$C$3</f>
        <v>3211000</v>
      </c>
      <c r="E70" s="243">
        <v>66</v>
      </c>
    </row>
    <row r="71" spans="1:5" x14ac:dyDescent="0.6">
      <c r="A71" s="252" t="s">
        <v>267</v>
      </c>
      <c r="B71" s="253">
        <v>348</v>
      </c>
      <c r="C71" s="251">
        <f t="shared" si="1"/>
        <v>3306000</v>
      </c>
      <c r="E71" s="243">
        <v>67</v>
      </c>
    </row>
    <row r="72" spans="1:5" x14ac:dyDescent="0.6">
      <c r="A72" s="252" t="s">
        <v>268</v>
      </c>
      <c r="B72" s="253">
        <v>358</v>
      </c>
      <c r="C72" s="251">
        <f t="shared" si="1"/>
        <v>3401000</v>
      </c>
      <c r="E72" s="243">
        <v>68</v>
      </c>
    </row>
    <row r="73" spans="1:5" x14ac:dyDescent="0.6">
      <c r="A73" s="252" t="s">
        <v>269</v>
      </c>
      <c r="B73" s="253">
        <v>368</v>
      </c>
      <c r="C73" s="251">
        <f t="shared" si="1"/>
        <v>3496000</v>
      </c>
      <c r="E73" s="243">
        <v>69</v>
      </c>
    </row>
    <row r="74" spans="1:5" x14ac:dyDescent="0.6">
      <c r="A74" s="252" t="s">
        <v>270</v>
      </c>
      <c r="B74" s="253">
        <v>378</v>
      </c>
      <c r="C74" s="251">
        <f t="shared" si="1"/>
        <v>3591000</v>
      </c>
      <c r="E74" s="243">
        <v>70</v>
      </c>
    </row>
    <row r="75" spans="1:5" x14ac:dyDescent="0.6">
      <c r="A75" s="252" t="s">
        <v>271</v>
      </c>
      <c r="B75" s="256">
        <v>388</v>
      </c>
      <c r="C75" s="251">
        <f t="shared" si="1"/>
        <v>3686000</v>
      </c>
      <c r="E75" s="243">
        <v>71</v>
      </c>
    </row>
    <row r="76" spans="1:5" x14ac:dyDescent="0.6">
      <c r="A76" s="252" t="s">
        <v>272</v>
      </c>
      <c r="B76" s="256">
        <v>398</v>
      </c>
      <c r="C76" s="251">
        <f t="shared" si="1"/>
        <v>3781000</v>
      </c>
      <c r="E76" s="243">
        <v>72</v>
      </c>
    </row>
    <row r="77" spans="1:5" x14ac:dyDescent="0.6">
      <c r="A77" s="252" t="s">
        <v>273</v>
      </c>
      <c r="B77" s="256">
        <v>408</v>
      </c>
      <c r="C77" s="251">
        <f t="shared" si="1"/>
        <v>3876000</v>
      </c>
      <c r="E77" s="243">
        <v>73</v>
      </c>
    </row>
    <row r="78" spans="1:5" x14ac:dyDescent="0.6">
      <c r="A78" s="252" t="s">
        <v>274</v>
      </c>
      <c r="B78" s="256">
        <v>418</v>
      </c>
      <c r="C78" s="251">
        <f t="shared" si="1"/>
        <v>3971000</v>
      </c>
      <c r="E78" s="243">
        <v>74</v>
      </c>
    </row>
    <row r="79" spans="1:5" x14ac:dyDescent="0.6">
      <c r="A79" s="252" t="s">
        <v>275</v>
      </c>
      <c r="B79" s="253">
        <v>600</v>
      </c>
      <c r="C79" s="251">
        <f t="shared" si="1"/>
        <v>5700000</v>
      </c>
      <c r="E79" s="243">
        <v>75</v>
      </c>
    </row>
    <row r="80" spans="1:5" x14ac:dyDescent="0.6">
      <c r="A80" s="252" t="s">
        <v>276</v>
      </c>
      <c r="B80" s="253">
        <v>700</v>
      </c>
      <c r="C80" s="251">
        <f t="shared" si="1"/>
        <v>6650000</v>
      </c>
      <c r="E80" s="243">
        <v>76</v>
      </c>
    </row>
    <row r="81" spans="1:5" x14ac:dyDescent="0.6">
      <c r="A81" s="252" t="s">
        <v>277</v>
      </c>
      <c r="B81" s="253">
        <v>800</v>
      </c>
      <c r="C81" s="251">
        <f t="shared" si="1"/>
        <v>7600000</v>
      </c>
      <c r="E81" s="243">
        <v>77</v>
      </c>
    </row>
    <row r="82" spans="1:5" x14ac:dyDescent="0.6">
      <c r="A82" s="252" t="s">
        <v>278</v>
      </c>
      <c r="B82" s="253">
        <v>900</v>
      </c>
      <c r="C82" s="251">
        <f t="shared" si="1"/>
        <v>8550000</v>
      </c>
      <c r="E82" s="243">
        <v>78</v>
      </c>
    </row>
    <row r="83" spans="1:5" x14ac:dyDescent="0.6">
      <c r="A83" s="252" t="s">
        <v>279</v>
      </c>
      <c r="B83" s="253">
        <v>1000</v>
      </c>
      <c r="C83" s="251">
        <f t="shared" si="1"/>
        <v>9500000</v>
      </c>
      <c r="E83" s="243">
        <v>79</v>
      </c>
    </row>
    <row r="84" spans="1:5" x14ac:dyDescent="0.6">
      <c r="A84" s="252" t="s">
        <v>280</v>
      </c>
      <c r="B84" s="253">
        <v>1100</v>
      </c>
      <c r="C84" s="251">
        <f t="shared" si="1"/>
        <v>10450000</v>
      </c>
      <c r="E84" s="243">
        <v>80</v>
      </c>
    </row>
    <row r="85" spans="1:5" x14ac:dyDescent="0.6">
      <c r="A85" s="252" t="s">
        <v>281</v>
      </c>
      <c r="B85" s="253">
        <v>1200</v>
      </c>
      <c r="C85" s="251">
        <f t="shared" si="1"/>
        <v>11400000</v>
      </c>
      <c r="E85" s="243">
        <v>81</v>
      </c>
    </row>
    <row r="86" spans="1:5" x14ac:dyDescent="0.6">
      <c r="E86" s="243">
        <v>82</v>
      </c>
    </row>
    <row r="87" spans="1:5" x14ac:dyDescent="0.6">
      <c r="E87" s="243">
        <v>83</v>
      </c>
    </row>
    <row r="88" spans="1:5" x14ac:dyDescent="0.6">
      <c r="E88" s="243">
        <v>84</v>
      </c>
    </row>
    <row r="89" spans="1:5" x14ac:dyDescent="0.6">
      <c r="E89" s="243">
        <v>85</v>
      </c>
    </row>
    <row r="90" spans="1:5" x14ac:dyDescent="0.6">
      <c r="E90" s="243">
        <v>86</v>
      </c>
    </row>
    <row r="91" spans="1:5" x14ac:dyDescent="0.6">
      <c r="E91" s="243">
        <v>87</v>
      </c>
    </row>
    <row r="92" spans="1:5" x14ac:dyDescent="0.6">
      <c r="E92" s="243">
        <v>88</v>
      </c>
    </row>
    <row r="93" spans="1:5" x14ac:dyDescent="0.6">
      <c r="E93" s="243">
        <v>89</v>
      </c>
    </row>
    <row r="94" spans="1:5" x14ac:dyDescent="0.6">
      <c r="E94" s="243">
        <v>90</v>
      </c>
    </row>
    <row r="95" spans="1:5" x14ac:dyDescent="0.6">
      <c r="E95" s="243">
        <v>91</v>
      </c>
    </row>
    <row r="96" spans="1:5" x14ac:dyDescent="0.6">
      <c r="E96" s="243">
        <v>92</v>
      </c>
    </row>
    <row r="97" spans="5:5" x14ac:dyDescent="0.6">
      <c r="E97" s="243">
        <v>93</v>
      </c>
    </row>
    <row r="98" spans="5:5" x14ac:dyDescent="0.6">
      <c r="E98" s="243">
        <v>94</v>
      </c>
    </row>
    <row r="99" spans="5:5" x14ac:dyDescent="0.6">
      <c r="E99" s="243">
        <v>95</v>
      </c>
    </row>
    <row r="100" spans="5:5" x14ac:dyDescent="0.6">
      <c r="E100" s="243">
        <v>96</v>
      </c>
    </row>
    <row r="101" spans="5:5" x14ac:dyDescent="0.6">
      <c r="E101" s="243">
        <v>97</v>
      </c>
    </row>
    <row r="102" spans="5:5" x14ac:dyDescent="0.6">
      <c r="E102" s="243">
        <v>98</v>
      </c>
    </row>
    <row r="103" spans="5:5" x14ac:dyDescent="0.6">
      <c r="E103" s="243">
        <v>99</v>
      </c>
    </row>
    <row r="104" spans="5:5" x14ac:dyDescent="0.6">
      <c r="E104" s="243">
        <v>100</v>
      </c>
    </row>
    <row r="105" spans="5:5" x14ac:dyDescent="0.6">
      <c r="E105" s="243">
        <v>101</v>
      </c>
    </row>
    <row r="106" spans="5:5" x14ac:dyDescent="0.6">
      <c r="E106" s="243">
        <v>102</v>
      </c>
    </row>
    <row r="107" spans="5:5" x14ac:dyDescent="0.6">
      <c r="E107" s="243">
        <v>103</v>
      </c>
    </row>
    <row r="108" spans="5:5" x14ac:dyDescent="0.6">
      <c r="E108" s="243">
        <v>104</v>
      </c>
    </row>
    <row r="109" spans="5:5" x14ac:dyDescent="0.6">
      <c r="E109" s="243">
        <v>105</v>
      </c>
    </row>
    <row r="110" spans="5:5" x14ac:dyDescent="0.6">
      <c r="E110" s="243">
        <v>106</v>
      </c>
    </row>
    <row r="111" spans="5:5" x14ac:dyDescent="0.6">
      <c r="E111" s="243">
        <v>107</v>
      </c>
    </row>
    <row r="112" spans="5:5" x14ac:dyDescent="0.6">
      <c r="E112" s="243">
        <v>108</v>
      </c>
    </row>
    <row r="113" spans="5:5" x14ac:dyDescent="0.6">
      <c r="E113" s="243">
        <v>109</v>
      </c>
    </row>
    <row r="114" spans="5:5" x14ac:dyDescent="0.6">
      <c r="E114" s="243">
        <v>110</v>
      </c>
    </row>
    <row r="115" spans="5:5" x14ac:dyDescent="0.6">
      <c r="E115" s="243">
        <v>111</v>
      </c>
    </row>
    <row r="116" spans="5:5" x14ac:dyDescent="0.6">
      <c r="E116" s="243">
        <v>112</v>
      </c>
    </row>
    <row r="117" spans="5:5" x14ac:dyDescent="0.6">
      <c r="E117" s="243">
        <v>113</v>
      </c>
    </row>
    <row r="118" spans="5:5" x14ac:dyDescent="0.6">
      <c r="E118" s="243">
        <v>114</v>
      </c>
    </row>
    <row r="119" spans="5:5" x14ac:dyDescent="0.6">
      <c r="E119" s="243">
        <v>115</v>
      </c>
    </row>
    <row r="120" spans="5:5" x14ac:dyDescent="0.6">
      <c r="E120" s="243">
        <v>116</v>
      </c>
    </row>
    <row r="121" spans="5:5" x14ac:dyDescent="0.6">
      <c r="E121" s="243">
        <v>117</v>
      </c>
    </row>
    <row r="122" spans="5:5" x14ac:dyDescent="0.6">
      <c r="E122" s="243">
        <v>118</v>
      </c>
    </row>
    <row r="123" spans="5:5" x14ac:dyDescent="0.6">
      <c r="E123" s="243">
        <v>119</v>
      </c>
    </row>
    <row r="124" spans="5:5" x14ac:dyDescent="0.6">
      <c r="E124" s="243">
        <v>120</v>
      </c>
    </row>
    <row r="125" spans="5:5" x14ac:dyDescent="0.6">
      <c r="E125" s="243">
        <v>121</v>
      </c>
    </row>
    <row r="126" spans="5:5" x14ac:dyDescent="0.6">
      <c r="E126" s="243">
        <v>122</v>
      </c>
    </row>
    <row r="127" spans="5:5" x14ac:dyDescent="0.6">
      <c r="E127" s="243">
        <v>123</v>
      </c>
    </row>
    <row r="128" spans="5:5" x14ac:dyDescent="0.6">
      <c r="E128" s="243">
        <v>124</v>
      </c>
    </row>
    <row r="129" spans="5:5" x14ac:dyDescent="0.6">
      <c r="E129" s="243">
        <v>125</v>
      </c>
    </row>
    <row r="130" spans="5:5" x14ac:dyDescent="0.6">
      <c r="E130" s="243">
        <v>126</v>
      </c>
    </row>
    <row r="131" spans="5:5" x14ac:dyDescent="0.6">
      <c r="E131" s="243">
        <v>127</v>
      </c>
    </row>
    <row r="132" spans="5:5" x14ac:dyDescent="0.6">
      <c r="E132" s="243">
        <v>128</v>
      </c>
    </row>
    <row r="133" spans="5:5" x14ac:dyDescent="0.6">
      <c r="E133" s="243">
        <v>129</v>
      </c>
    </row>
    <row r="134" spans="5:5" x14ac:dyDescent="0.6">
      <c r="E134" s="243">
        <v>130</v>
      </c>
    </row>
    <row r="135" spans="5:5" x14ac:dyDescent="0.6">
      <c r="E135" s="243">
        <v>131</v>
      </c>
    </row>
    <row r="136" spans="5:5" x14ac:dyDescent="0.6">
      <c r="E136" s="243">
        <v>132</v>
      </c>
    </row>
    <row r="137" spans="5:5" x14ac:dyDescent="0.6">
      <c r="E137" s="243">
        <v>133</v>
      </c>
    </row>
    <row r="138" spans="5:5" x14ac:dyDescent="0.6">
      <c r="E138" s="243">
        <v>134</v>
      </c>
    </row>
    <row r="139" spans="5:5" x14ac:dyDescent="0.6">
      <c r="E139" s="243">
        <v>135</v>
      </c>
    </row>
    <row r="140" spans="5:5" x14ac:dyDescent="0.6">
      <c r="E140" s="243">
        <v>136</v>
      </c>
    </row>
    <row r="141" spans="5:5" x14ac:dyDescent="0.6">
      <c r="E141" s="243">
        <v>137</v>
      </c>
    </row>
    <row r="142" spans="5:5" x14ac:dyDescent="0.6">
      <c r="E142" s="243">
        <v>138</v>
      </c>
    </row>
    <row r="143" spans="5:5" x14ac:dyDescent="0.6">
      <c r="E143" s="243">
        <v>139</v>
      </c>
    </row>
    <row r="144" spans="5:5" x14ac:dyDescent="0.6">
      <c r="E144" s="243">
        <v>140</v>
      </c>
    </row>
    <row r="145" spans="5:5" x14ac:dyDescent="0.6">
      <c r="E145" s="243">
        <v>141</v>
      </c>
    </row>
    <row r="146" spans="5:5" x14ac:dyDescent="0.6">
      <c r="E146" s="243">
        <v>142</v>
      </c>
    </row>
    <row r="147" spans="5:5" x14ac:dyDescent="0.6">
      <c r="E147" s="243">
        <v>143</v>
      </c>
    </row>
    <row r="148" spans="5:5" x14ac:dyDescent="0.6">
      <c r="E148" s="243">
        <v>144</v>
      </c>
    </row>
    <row r="149" spans="5:5" x14ac:dyDescent="0.6">
      <c r="E149" s="243">
        <v>145</v>
      </c>
    </row>
    <row r="150" spans="5:5" x14ac:dyDescent="0.6">
      <c r="E150" s="243">
        <v>146</v>
      </c>
    </row>
    <row r="151" spans="5:5" x14ac:dyDescent="0.6">
      <c r="E151" s="243">
        <v>147</v>
      </c>
    </row>
    <row r="152" spans="5:5" x14ac:dyDescent="0.6">
      <c r="E152" s="243">
        <v>148</v>
      </c>
    </row>
    <row r="153" spans="5:5" x14ac:dyDescent="0.6">
      <c r="E153" s="243">
        <v>149</v>
      </c>
    </row>
    <row r="154" spans="5:5" x14ac:dyDescent="0.6">
      <c r="E154" s="243">
        <v>150</v>
      </c>
    </row>
    <row r="155" spans="5:5" x14ac:dyDescent="0.6">
      <c r="E155" s="243">
        <v>151</v>
      </c>
    </row>
    <row r="156" spans="5:5" x14ac:dyDescent="0.6">
      <c r="E156" s="243">
        <v>152</v>
      </c>
    </row>
    <row r="157" spans="5:5" x14ac:dyDescent="0.6">
      <c r="E157" s="243">
        <v>153</v>
      </c>
    </row>
    <row r="158" spans="5:5" x14ac:dyDescent="0.6">
      <c r="E158" s="243">
        <v>154</v>
      </c>
    </row>
    <row r="159" spans="5:5" x14ac:dyDescent="0.6">
      <c r="E159" s="243">
        <v>155</v>
      </c>
    </row>
    <row r="160" spans="5:5" x14ac:dyDescent="0.6">
      <c r="E160" s="243">
        <v>156</v>
      </c>
    </row>
    <row r="161" spans="5:5" x14ac:dyDescent="0.6">
      <c r="E161" s="243">
        <v>157</v>
      </c>
    </row>
    <row r="162" spans="5:5" x14ac:dyDescent="0.6">
      <c r="E162" s="243">
        <v>158</v>
      </c>
    </row>
    <row r="163" spans="5:5" x14ac:dyDescent="0.6">
      <c r="E163" s="243">
        <v>159</v>
      </c>
    </row>
    <row r="164" spans="5:5" x14ac:dyDescent="0.6">
      <c r="E164" s="243">
        <v>160</v>
      </c>
    </row>
    <row r="165" spans="5:5" x14ac:dyDescent="0.6">
      <c r="E165" s="243">
        <v>161</v>
      </c>
    </row>
    <row r="166" spans="5:5" x14ac:dyDescent="0.6">
      <c r="E166" s="243">
        <v>162</v>
      </c>
    </row>
    <row r="167" spans="5:5" x14ac:dyDescent="0.6">
      <c r="E167" s="243">
        <v>163</v>
      </c>
    </row>
    <row r="168" spans="5:5" x14ac:dyDescent="0.6">
      <c r="E168" s="243">
        <v>164</v>
      </c>
    </row>
    <row r="169" spans="5:5" x14ac:dyDescent="0.6">
      <c r="E169" s="243">
        <v>165</v>
      </c>
    </row>
    <row r="170" spans="5:5" x14ac:dyDescent="0.6">
      <c r="E170" s="243">
        <v>166</v>
      </c>
    </row>
    <row r="171" spans="5:5" x14ac:dyDescent="0.6">
      <c r="E171" s="243">
        <v>167</v>
      </c>
    </row>
    <row r="172" spans="5:5" x14ac:dyDescent="0.6">
      <c r="E172" s="243">
        <v>168</v>
      </c>
    </row>
    <row r="173" spans="5:5" x14ac:dyDescent="0.6">
      <c r="E173" s="243">
        <v>169</v>
      </c>
    </row>
    <row r="174" spans="5:5" x14ac:dyDescent="0.6">
      <c r="E174" s="243">
        <v>170</v>
      </c>
    </row>
    <row r="175" spans="5:5" x14ac:dyDescent="0.6">
      <c r="E175" s="243">
        <v>171</v>
      </c>
    </row>
    <row r="176" spans="5:5" x14ac:dyDescent="0.6">
      <c r="E176" s="243">
        <v>172</v>
      </c>
    </row>
    <row r="177" spans="5:5" x14ac:dyDescent="0.6">
      <c r="E177" s="243">
        <v>173</v>
      </c>
    </row>
    <row r="178" spans="5:5" x14ac:dyDescent="0.6">
      <c r="E178" s="243">
        <v>174</v>
      </c>
    </row>
    <row r="179" spans="5:5" x14ac:dyDescent="0.6">
      <c r="E179" s="243">
        <v>175</v>
      </c>
    </row>
    <row r="180" spans="5:5" x14ac:dyDescent="0.6">
      <c r="E180" s="243">
        <v>176</v>
      </c>
    </row>
    <row r="181" spans="5:5" x14ac:dyDescent="0.6">
      <c r="E181" s="243">
        <v>177</v>
      </c>
    </row>
    <row r="182" spans="5:5" x14ac:dyDescent="0.6">
      <c r="E182" s="243">
        <v>178</v>
      </c>
    </row>
    <row r="183" spans="5:5" x14ac:dyDescent="0.6">
      <c r="E183" s="243">
        <v>179</v>
      </c>
    </row>
    <row r="184" spans="5:5" x14ac:dyDescent="0.6">
      <c r="E184" s="243">
        <v>180</v>
      </c>
    </row>
    <row r="185" spans="5:5" x14ac:dyDescent="0.6">
      <c r="E185" s="243">
        <v>181</v>
      </c>
    </row>
    <row r="186" spans="5:5" x14ac:dyDescent="0.6">
      <c r="E186" s="243">
        <v>182</v>
      </c>
    </row>
    <row r="187" spans="5:5" x14ac:dyDescent="0.6">
      <c r="E187" s="243">
        <v>183</v>
      </c>
    </row>
    <row r="188" spans="5:5" x14ac:dyDescent="0.6">
      <c r="E188" s="243">
        <v>184</v>
      </c>
    </row>
    <row r="189" spans="5:5" x14ac:dyDescent="0.6">
      <c r="E189" s="243">
        <v>185</v>
      </c>
    </row>
    <row r="190" spans="5:5" x14ac:dyDescent="0.6">
      <c r="E190" s="243">
        <v>186</v>
      </c>
    </row>
    <row r="191" spans="5:5" x14ac:dyDescent="0.6">
      <c r="E191" s="243">
        <v>187</v>
      </c>
    </row>
    <row r="192" spans="5:5" x14ac:dyDescent="0.6">
      <c r="E192" s="243">
        <v>188</v>
      </c>
    </row>
    <row r="193" spans="5:5" x14ac:dyDescent="0.6">
      <c r="E193" s="243">
        <v>189</v>
      </c>
    </row>
    <row r="194" spans="5:5" x14ac:dyDescent="0.6">
      <c r="E194" s="243">
        <v>190</v>
      </c>
    </row>
    <row r="195" spans="5:5" x14ac:dyDescent="0.6">
      <c r="E195" s="243">
        <v>191</v>
      </c>
    </row>
    <row r="196" spans="5:5" x14ac:dyDescent="0.6">
      <c r="E196" s="243">
        <v>192</v>
      </c>
    </row>
    <row r="197" spans="5:5" x14ac:dyDescent="0.6">
      <c r="E197" s="243">
        <v>193</v>
      </c>
    </row>
    <row r="198" spans="5:5" x14ac:dyDescent="0.6">
      <c r="E198" s="243">
        <v>194</v>
      </c>
    </row>
    <row r="199" spans="5:5" x14ac:dyDescent="0.6">
      <c r="E199" s="243">
        <v>195</v>
      </c>
    </row>
    <row r="200" spans="5:5" x14ac:dyDescent="0.6">
      <c r="E200" s="243">
        <v>196</v>
      </c>
    </row>
    <row r="201" spans="5:5" x14ac:dyDescent="0.6">
      <c r="E201" s="243">
        <v>197</v>
      </c>
    </row>
    <row r="202" spans="5:5" x14ac:dyDescent="0.6">
      <c r="E202" s="243">
        <v>198</v>
      </c>
    </row>
    <row r="203" spans="5:5" x14ac:dyDescent="0.6">
      <c r="E203" s="243">
        <v>199</v>
      </c>
    </row>
    <row r="204" spans="5:5" x14ac:dyDescent="0.6">
      <c r="E204" s="243">
        <v>200</v>
      </c>
    </row>
    <row r="205" spans="5:5" x14ac:dyDescent="0.6">
      <c r="E205" s="243">
        <v>201</v>
      </c>
    </row>
    <row r="206" spans="5:5" x14ac:dyDescent="0.6">
      <c r="E206" s="243">
        <v>202</v>
      </c>
    </row>
    <row r="207" spans="5:5" x14ac:dyDescent="0.6">
      <c r="E207" s="243">
        <v>203</v>
      </c>
    </row>
    <row r="208" spans="5:5" x14ac:dyDescent="0.6">
      <c r="E208" s="243">
        <v>204</v>
      </c>
    </row>
    <row r="209" spans="1:5" x14ac:dyDescent="0.6">
      <c r="E209" s="243">
        <v>205</v>
      </c>
    </row>
    <row r="210" spans="1:5" x14ac:dyDescent="0.6">
      <c r="E210" s="243">
        <v>206</v>
      </c>
    </row>
    <row r="211" spans="1:5" x14ac:dyDescent="0.6">
      <c r="E211" s="243">
        <v>207</v>
      </c>
    </row>
    <row r="212" spans="1:5" x14ac:dyDescent="0.6">
      <c r="E212" s="243">
        <v>208</v>
      </c>
    </row>
    <row r="213" spans="1:5" x14ac:dyDescent="0.6">
      <c r="E213" s="243">
        <v>209</v>
      </c>
    </row>
    <row r="214" spans="1:5" x14ac:dyDescent="0.6">
      <c r="E214" s="243">
        <v>210</v>
      </c>
    </row>
    <row r="215" spans="1:5" x14ac:dyDescent="0.6">
      <c r="E215" s="243">
        <v>211</v>
      </c>
    </row>
    <row r="216" spans="1:5" x14ac:dyDescent="0.6">
      <c r="E216" s="243">
        <v>212</v>
      </c>
    </row>
    <row r="217" spans="1:5" x14ac:dyDescent="0.6">
      <c r="E217" s="243">
        <v>213</v>
      </c>
    </row>
    <row r="218" spans="1:5" x14ac:dyDescent="0.6">
      <c r="E218" s="243">
        <v>214</v>
      </c>
    </row>
    <row r="219" spans="1:5" x14ac:dyDescent="0.6">
      <c r="E219" s="243">
        <v>215</v>
      </c>
    </row>
    <row r="220" spans="1:5" x14ac:dyDescent="0.6">
      <c r="E220" s="243">
        <v>216</v>
      </c>
    </row>
    <row r="221" spans="1:5" s="259" customFormat="1" x14ac:dyDescent="0.6">
      <c r="A221" s="258"/>
      <c r="C221" s="260"/>
      <c r="D221" s="261"/>
    </row>
    <row r="222" spans="1:5" s="259" customFormat="1" x14ac:dyDescent="0.6">
      <c r="A222" s="258"/>
      <c r="C222" s="260"/>
      <c r="D222" s="261"/>
    </row>
    <row r="223" spans="1:5" s="259" customFormat="1" x14ac:dyDescent="0.6">
      <c r="A223" s="258"/>
      <c r="C223" s="260"/>
      <c r="D223" s="261"/>
    </row>
    <row r="224" spans="1:5" s="259" customFormat="1" x14ac:dyDescent="0.6">
      <c r="A224" s="258"/>
      <c r="C224" s="260"/>
      <c r="D224" s="261"/>
    </row>
    <row r="225" spans="1:4" s="259" customFormat="1" x14ac:dyDescent="0.6">
      <c r="A225" s="258"/>
      <c r="C225" s="260"/>
      <c r="D225" s="261"/>
    </row>
    <row r="226" spans="1:4" s="259" customFormat="1" x14ac:dyDescent="0.6">
      <c r="A226" s="258"/>
      <c r="C226" s="260"/>
      <c r="D226" s="261"/>
    </row>
    <row r="227" spans="1:4" s="259" customFormat="1" x14ac:dyDescent="0.6">
      <c r="A227" s="258"/>
      <c r="C227" s="260"/>
      <c r="D227" s="261"/>
    </row>
    <row r="228" spans="1:4" s="259" customFormat="1" x14ac:dyDescent="0.6">
      <c r="A228" s="258"/>
      <c r="C228" s="260"/>
      <c r="D228" s="261"/>
    </row>
    <row r="229" spans="1:4" s="259" customFormat="1" x14ac:dyDescent="0.6">
      <c r="A229" s="258"/>
      <c r="C229" s="260"/>
      <c r="D229" s="261"/>
    </row>
    <row r="230" spans="1:4" s="259" customFormat="1" x14ac:dyDescent="0.6">
      <c r="A230" s="258"/>
      <c r="C230" s="260"/>
      <c r="D230" s="261"/>
    </row>
    <row r="231" spans="1:4" s="259" customFormat="1" x14ac:dyDescent="0.6">
      <c r="A231" s="258"/>
      <c r="C231" s="260"/>
      <c r="D231" s="261"/>
    </row>
    <row r="232" spans="1:4" s="259" customFormat="1" x14ac:dyDescent="0.6">
      <c r="A232" s="258"/>
      <c r="C232" s="260"/>
      <c r="D232" s="261"/>
    </row>
    <row r="233" spans="1:4" s="259" customFormat="1" x14ac:dyDescent="0.6">
      <c r="A233" s="258"/>
      <c r="C233" s="260"/>
      <c r="D233" s="261"/>
    </row>
    <row r="234" spans="1:4" s="259" customFormat="1" x14ac:dyDescent="0.6">
      <c r="A234" s="258"/>
      <c r="C234" s="260"/>
      <c r="D234" s="261"/>
    </row>
    <row r="235" spans="1:4" s="259" customFormat="1" x14ac:dyDescent="0.6">
      <c r="A235" s="258"/>
      <c r="C235" s="260"/>
      <c r="D235" s="261"/>
    </row>
    <row r="236" spans="1:4" s="259" customFormat="1" x14ac:dyDescent="0.6">
      <c r="A236" s="258"/>
      <c r="C236" s="260"/>
      <c r="D236" s="261"/>
    </row>
    <row r="237" spans="1:4" s="259" customFormat="1" x14ac:dyDescent="0.6">
      <c r="A237" s="258"/>
      <c r="C237" s="260"/>
      <c r="D237" s="261"/>
    </row>
    <row r="238" spans="1:4" s="259" customFormat="1" x14ac:dyDescent="0.6">
      <c r="A238" s="258"/>
      <c r="C238" s="260"/>
      <c r="D238" s="261"/>
    </row>
    <row r="239" spans="1:4" s="259" customFormat="1" x14ac:dyDescent="0.6">
      <c r="A239" s="258"/>
      <c r="C239" s="260"/>
      <c r="D239" s="261"/>
    </row>
    <row r="240" spans="1:4" s="259" customFormat="1" x14ac:dyDescent="0.6">
      <c r="A240" s="258"/>
      <c r="C240" s="260"/>
      <c r="D240" s="261"/>
    </row>
    <row r="241" spans="1:4" s="259" customFormat="1" x14ac:dyDescent="0.6">
      <c r="A241" s="258"/>
      <c r="C241" s="260"/>
      <c r="D241" s="261"/>
    </row>
    <row r="242" spans="1:4" s="259" customFormat="1" x14ac:dyDescent="0.6">
      <c r="A242" s="258"/>
      <c r="C242" s="260"/>
      <c r="D242" s="261"/>
    </row>
    <row r="243" spans="1:4" s="259" customFormat="1" x14ac:dyDescent="0.6">
      <c r="A243" s="258"/>
      <c r="C243" s="260"/>
      <c r="D243" s="261"/>
    </row>
    <row r="244" spans="1:4" s="259" customFormat="1" x14ac:dyDescent="0.6">
      <c r="A244" s="258"/>
      <c r="C244" s="260"/>
      <c r="D244" s="261"/>
    </row>
    <row r="245" spans="1:4" s="259" customFormat="1" x14ac:dyDescent="0.6">
      <c r="A245" s="258"/>
      <c r="C245" s="260"/>
      <c r="D245" s="261"/>
    </row>
    <row r="246" spans="1:4" s="259" customFormat="1" x14ac:dyDescent="0.6">
      <c r="A246" s="258"/>
      <c r="C246" s="260"/>
      <c r="D246" s="261"/>
    </row>
    <row r="247" spans="1:4" s="259" customFormat="1" x14ac:dyDescent="0.6">
      <c r="A247" s="258"/>
      <c r="C247" s="260"/>
      <c r="D247" s="261"/>
    </row>
    <row r="248" spans="1:4" s="259" customFormat="1" x14ac:dyDescent="0.6">
      <c r="A248" s="258"/>
      <c r="C248" s="260"/>
      <c r="D248" s="261"/>
    </row>
    <row r="249" spans="1:4" s="259" customFormat="1" x14ac:dyDescent="0.6">
      <c r="A249" s="258"/>
      <c r="C249" s="260"/>
      <c r="D249" s="261"/>
    </row>
    <row r="250" spans="1:4" s="259" customFormat="1" x14ac:dyDescent="0.6">
      <c r="A250" s="258"/>
      <c r="C250" s="260"/>
      <c r="D250" s="261"/>
    </row>
    <row r="251" spans="1:4" s="259" customFormat="1" x14ac:dyDescent="0.6">
      <c r="A251" s="258"/>
      <c r="C251" s="260"/>
      <c r="D251" s="261"/>
    </row>
    <row r="252" spans="1:4" s="259" customFormat="1" x14ac:dyDescent="0.6">
      <c r="A252" s="258"/>
      <c r="C252" s="260"/>
      <c r="D252" s="261"/>
    </row>
    <row r="253" spans="1:4" s="259" customFormat="1" x14ac:dyDescent="0.6">
      <c r="A253" s="258"/>
      <c r="C253" s="260"/>
      <c r="D253" s="2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2201-E4C1-49F8-80C5-6080B9C36BA2}">
  <sheetPr>
    <tabColor rgb="FF00B050"/>
  </sheetPr>
  <dimension ref="A1:G9"/>
  <sheetViews>
    <sheetView workbookViewId="0">
      <selection activeCell="D23" sqref="D23"/>
    </sheetView>
  </sheetViews>
  <sheetFormatPr defaultColWidth="9" defaultRowHeight="19.8" x14ac:dyDescent="0.6"/>
  <cols>
    <col min="1" max="1" width="10.44140625" style="257" customWidth="1"/>
    <col min="2" max="2" width="15" style="245" customWidth="1"/>
    <col min="3" max="3" width="20.44140625" style="245" customWidth="1"/>
    <col min="4" max="4" width="17.44140625" style="245" customWidth="1"/>
    <col min="5" max="5" width="20.5546875" style="245" customWidth="1"/>
    <col min="6" max="6" width="19.88671875" style="245" customWidth="1"/>
    <col min="7" max="7" width="11.5546875" style="245" customWidth="1"/>
    <col min="8" max="16384" width="9" style="245"/>
  </cols>
  <sheetData>
    <row r="1" spans="1:7" x14ac:dyDescent="0.6">
      <c r="A1" s="262"/>
    </row>
    <row r="2" spans="1:7" x14ac:dyDescent="0.6">
      <c r="A2" s="263"/>
      <c r="B2" s="264"/>
      <c r="C2" s="264"/>
    </row>
    <row r="3" spans="1:7" ht="32.4" x14ac:dyDescent="0.6">
      <c r="A3" s="263"/>
      <c r="B3" s="339" t="s">
        <v>282</v>
      </c>
      <c r="C3" s="339"/>
      <c r="D3" s="339"/>
      <c r="E3" s="339"/>
      <c r="F3" s="339"/>
      <c r="G3" s="265"/>
    </row>
    <row r="4" spans="1:7" ht="23.4" x14ac:dyDescent="0.7">
      <c r="A4" s="263"/>
      <c r="B4" s="266" t="s">
        <v>3</v>
      </c>
      <c r="C4" s="267" t="s">
        <v>283</v>
      </c>
      <c r="D4" s="268" t="s">
        <v>284</v>
      </c>
      <c r="E4" s="267" t="s">
        <v>285</v>
      </c>
      <c r="F4" s="268" t="s">
        <v>19</v>
      </c>
      <c r="G4" s="265"/>
    </row>
    <row r="5" spans="1:7" ht="23.4" x14ac:dyDescent="0.7">
      <c r="A5" s="263"/>
      <c r="B5" s="266">
        <v>1</v>
      </c>
      <c r="C5" s="269" t="s">
        <v>286</v>
      </c>
      <c r="D5" s="268">
        <v>10000</v>
      </c>
      <c r="E5" s="267">
        <v>5</v>
      </c>
      <c r="F5" s="268">
        <f>D5*E5</f>
        <v>50000</v>
      </c>
    </row>
    <row r="6" spans="1:7" ht="23.4" x14ac:dyDescent="0.7">
      <c r="A6" s="263"/>
      <c r="B6" s="266">
        <v>2</v>
      </c>
      <c r="C6" s="269" t="s">
        <v>287</v>
      </c>
      <c r="D6" s="268">
        <v>20000</v>
      </c>
      <c r="E6" s="267">
        <v>10</v>
      </c>
      <c r="F6" s="268">
        <f>D6*E6</f>
        <v>200000</v>
      </c>
    </row>
    <row r="7" spans="1:7" ht="23.4" x14ac:dyDescent="0.7">
      <c r="A7" s="270"/>
      <c r="B7" s="266">
        <v>3</v>
      </c>
      <c r="C7" s="269" t="s">
        <v>288</v>
      </c>
      <c r="D7" s="268">
        <v>30000</v>
      </c>
      <c r="E7" s="267">
        <v>10</v>
      </c>
      <c r="F7" s="268">
        <f>D7*E7</f>
        <v>300000</v>
      </c>
    </row>
    <row r="8" spans="1:7" ht="23.4" x14ac:dyDescent="0.7">
      <c r="B8" s="266">
        <v>4</v>
      </c>
      <c r="C8" s="269" t="s">
        <v>289</v>
      </c>
      <c r="D8" s="268">
        <v>40000</v>
      </c>
      <c r="E8" s="267">
        <v>5</v>
      </c>
      <c r="F8" s="268">
        <f>D8*E8</f>
        <v>200000</v>
      </c>
    </row>
    <row r="9" spans="1:7" ht="23.4" x14ac:dyDescent="0.7">
      <c r="B9" s="340" t="s">
        <v>19</v>
      </c>
      <c r="C9" s="340"/>
      <c r="D9" s="271">
        <f>SUM(D5:D8)</f>
        <v>100000</v>
      </c>
      <c r="E9" s="271">
        <f>SUM(E5:E8)</f>
        <v>30</v>
      </c>
      <c r="F9" s="271">
        <f>SUM(F5:F8)</f>
        <v>750000</v>
      </c>
    </row>
  </sheetData>
  <mergeCells count="2">
    <mergeCell ref="B3:F3"/>
    <mergeCell ref="B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486D-13B4-46D4-AB71-0B1C2DFFDFF9}">
  <sheetPr>
    <tabColor rgb="FF00B050"/>
  </sheetPr>
  <dimension ref="A1:N161"/>
  <sheetViews>
    <sheetView workbookViewId="0">
      <selection activeCell="B13" sqref="B13"/>
    </sheetView>
  </sheetViews>
  <sheetFormatPr defaultColWidth="9" defaultRowHeight="19.8" x14ac:dyDescent="0.6"/>
  <cols>
    <col min="1" max="1" width="8.6640625" style="330" customWidth="1"/>
    <col min="2" max="2" width="46.5546875" style="132" customWidth="1"/>
    <col min="3" max="3" width="41.88671875" style="56" customWidth="1"/>
    <col min="4" max="4" width="17" style="56" customWidth="1"/>
    <col min="5" max="5" width="27.6640625" style="56" customWidth="1"/>
    <col min="6" max="6" width="19" style="274" hidden="1" customWidth="1"/>
    <col min="7" max="7" width="19" style="274" customWidth="1"/>
    <col min="8" max="8" width="13.109375" style="18" hidden="1" customWidth="1"/>
    <col min="9" max="9" width="19" style="11" customWidth="1"/>
    <col min="10" max="10" width="16.109375" style="273" bestFit="1" customWidth="1"/>
    <col min="11" max="11" width="16" style="272" customWidth="1"/>
    <col min="12" max="12" width="14" style="272" customWidth="1"/>
    <col min="13" max="13" width="12.88671875" style="272" bestFit="1" customWidth="1"/>
    <col min="14" max="14" width="11.33203125" style="272" bestFit="1" customWidth="1"/>
    <col min="15" max="16384" width="9" style="272"/>
  </cols>
  <sheetData>
    <row r="1" spans="1:12" ht="18" customHeight="1" x14ac:dyDescent="0.6">
      <c r="A1" s="275"/>
      <c r="B1" s="275"/>
      <c r="E1" s="344" t="s">
        <v>290</v>
      </c>
      <c r="F1" s="344"/>
      <c r="G1" s="344"/>
      <c r="H1" s="344"/>
      <c r="I1" s="344"/>
    </row>
    <row r="2" spans="1:12" ht="31.5" customHeight="1" x14ac:dyDescent="0.6">
      <c r="A2" s="275"/>
      <c r="B2" s="275"/>
      <c r="I2" s="19"/>
    </row>
    <row r="3" spans="1:12" s="131" customFormat="1" ht="18" customHeight="1" x14ac:dyDescent="0.25">
      <c r="A3" s="342" t="s">
        <v>291</v>
      </c>
      <c r="B3" s="342"/>
      <c r="C3" s="342"/>
      <c r="D3" s="342"/>
      <c r="E3" s="342"/>
      <c r="F3" s="342"/>
      <c r="G3" s="342"/>
      <c r="H3" s="342"/>
      <c r="I3" s="342"/>
      <c r="J3" s="336"/>
    </row>
    <row r="4" spans="1:12" s="330" customFormat="1" ht="18" customHeight="1" x14ac:dyDescent="0.6">
      <c r="A4" s="343" t="s">
        <v>358</v>
      </c>
      <c r="B4" s="343"/>
      <c r="C4" s="343"/>
      <c r="D4" s="343"/>
      <c r="E4" s="343"/>
      <c r="F4" s="343"/>
      <c r="G4" s="343"/>
      <c r="H4" s="343"/>
      <c r="I4" s="343"/>
      <c r="J4" s="337"/>
    </row>
    <row r="5" spans="1:12" s="41" customFormat="1" ht="18" customHeight="1" x14ac:dyDescent="0.25">
      <c r="A5" s="276" t="s">
        <v>3</v>
      </c>
      <c r="B5" s="277" t="s">
        <v>292</v>
      </c>
      <c r="C5" s="345" t="s">
        <v>293</v>
      </c>
      <c r="D5" s="345" t="s">
        <v>13</v>
      </c>
      <c r="E5" s="278" t="s">
        <v>294</v>
      </c>
      <c r="F5" s="279" t="s">
        <v>295</v>
      </c>
      <c r="G5" s="345" t="s">
        <v>296</v>
      </c>
      <c r="H5" s="347" t="s">
        <v>297</v>
      </c>
      <c r="I5" s="278" t="s">
        <v>298</v>
      </c>
      <c r="J5" s="82"/>
    </row>
    <row r="6" spans="1:12" s="41" customFormat="1" ht="18" customHeight="1" x14ac:dyDescent="0.25">
      <c r="A6" s="280"/>
      <c r="B6" s="281"/>
      <c r="C6" s="346"/>
      <c r="D6" s="346"/>
      <c r="E6" s="282" t="s">
        <v>299</v>
      </c>
      <c r="F6" s="283">
        <f>+'[1]Pilot stucture'!F10</f>
        <v>22324</v>
      </c>
      <c r="G6" s="346"/>
      <c r="H6" s="348"/>
      <c r="I6" s="282" t="s">
        <v>300</v>
      </c>
      <c r="J6" s="82"/>
    </row>
    <row r="7" spans="1:12" s="291" customFormat="1" ht="17.25" customHeight="1" x14ac:dyDescent="0.6">
      <c r="A7" s="284" t="s">
        <v>301</v>
      </c>
      <c r="B7" s="55" t="s">
        <v>302</v>
      </c>
      <c r="C7" s="285"/>
      <c r="D7" s="286"/>
      <c r="E7" s="285"/>
      <c r="F7" s="287"/>
      <c r="G7" s="287"/>
      <c r="H7" s="288"/>
      <c r="I7" s="285"/>
      <c r="J7" s="289" t="s">
        <v>303</v>
      </c>
      <c r="K7" s="290"/>
      <c r="L7" s="290"/>
    </row>
    <row r="8" spans="1:12" s="303" customFormat="1" ht="17.25" customHeight="1" x14ac:dyDescent="0.6">
      <c r="A8" s="292">
        <v>1</v>
      </c>
      <c r="B8" s="293" t="s">
        <v>359</v>
      </c>
      <c r="C8" s="294"/>
      <c r="D8" s="295">
        <v>24000000</v>
      </c>
      <c r="E8" s="296">
        <v>1</v>
      </c>
      <c r="F8" s="297">
        <v>936.33</v>
      </c>
      <c r="G8" s="298">
        <v>15000</v>
      </c>
      <c r="H8" s="299">
        <v>176</v>
      </c>
      <c r="I8" s="300">
        <f t="shared" ref="I8:I22" si="0">+D8/H8</f>
        <v>136363.63636363635</v>
      </c>
      <c r="J8" s="301"/>
      <c r="K8" s="302"/>
      <c r="L8" s="302"/>
    </row>
    <row r="9" spans="1:12" s="303" customFormat="1" ht="17.25" customHeight="1" x14ac:dyDescent="0.6">
      <c r="A9" s="292">
        <v>2</v>
      </c>
      <c r="B9" s="293" t="s">
        <v>360</v>
      </c>
      <c r="C9" s="294"/>
      <c r="D9" s="295">
        <f>D8*E9</f>
        <v>20640000</v>
      </c>
      <c r="E9" s="304">
        <v>0.86</v>
      </c>
      <c r="F9" s="297">
        <f>+D9/$F$6</f>
        <v>924.56549005554564</v>
      </c>
      <c r="G9" s="298">
        <v>15000</v>
      </c>
      <c r="H9" s="299">
        <v>176</v>
      </c>
      <c r="I9" s="300">
        <f t="shared" si="0"/>
        <v>117272.72727272728</v>
      </c>
      <c r="J9" s="301"/>
      <c r="K9" s="302"/>
      <c r="L9" s="302"/>
    </row>
    <row r="10" spans="1:12" s="303" customFormat="1" ht="17.25" customHeight="1" x14ac:dyDescent="0.6">
      <c r="A10" s="292">
        <v>3</v>
      </c>
      <c r="B10" s="293" t="s">
        <v>361</v>
      </c>
      <c r="C10" s="294"/>
      <c r="D10" s="295">
        <f>D8*E10</f>
        <v>13919999.999999998</v>
      </c>
      <c r="E10" s="304">
        <v>0.57999999999999996</v>
      </c>
      <c r="F10" s="297">
        <f>+D10/$F$6</f>
        <v>623.54416771187948</v>
      </c>
      <c r="G10" s="298">
        <v>15000</v>
      </c>
      <c r="H10" s="299">
        <v>176</v>
      </c>
      <c r="I10" s="300">
        <f t="shared" si="0"/>
        <v>79090.909090909074</v>
      </c>
      <c r="J10" s="301"/>
      <c r="K10" s="302"/>
      <c r="L10" s="302"/>
    </row>
    <row r="11" spans="1:12" s="303" customFormat="1" ht="17.25" customHeight="1" x14ac:dyDescent="0.6">
      <c r="A11" s="292">
        <v>4</v>
      </c>
      <c r="B11" s="293" t="s">
        <v>362</v>
      </c>
      <c r="C11" s="294"/>
      <c r="D11" s="295">
        <f>D8*E11</f>
        <v>12000000</v>
      </c>
      <c r="E11" s="304">
        <v>0.5</v>
      </c>
      <c r="F11" s="297">
        <f>+D11/$F$6</f>
        <v>537.53807561368933</v>
      </c>
      <c r="G11" s="298">
        <v>15000</v>
      </c>
      <c r="H11" s="299">
        <v>176</v>
      </c>
      <c r="I11" s="300">
        <f t="shared" si="0"/>
        <v>68181.818181818177</v>
      </c>
      <c r="J11" s="301"/>
      <c r="K11" s="305"/>
      <c r="L11" s="302"/>
    </row>
    <row r="12" spans="1:12" s="303" customFormat="1" ht="19.5" customHeight="1" x14ac:dyDescent="0.6">
      <c r="A12" s="292">
        <v>5</v>
      </c>
      <c r="B12" s="293" t="s">
        <v>308</v>
      </c>
      <c r="C12" s="294"/>
      <c r="D12" s="295">
        <f>D8*E12</f>
        <v>10800000</v>
      </c>
      <c r="E12" s="304">
        <v>0.45</v>
      </c>
      <c r="F12" s="297">
        <f>+D12/$F$6</f>
        <v>483.78426805232039</v>
      </c>
      <c r="G12" s="298">
        <v>15000</v>
      </c>
      <c r="H12" s="299">
        <v>176</v>
      </c>
      <c r="I12" s="300">
        <f t="shared" si="0"/>
        <v>61363.63636363636</v>
      </c>
      <c r="J12" s="301"/>
      <c r="K12" s="305"/>
      <c r="L12" s="302"/>
    </row>
    <row r="13" spans="1:12" s="303" customFormat="1" ht="18.75" customHeight="1" x14ac:dyDescent="0.6">
      <c r="A13" s="292">
        <v>6</v>
      </c>
      <c r="B13" s="293" t="s">
        <v>309</v>
      </c>
      <c r="C13" s="294"/>
      <c r="D13" s="295">
        <f>D8*E13</f>
        <v>9600000</v>
      </c>
      <c r="E13" s="304">
        <v>0.4</v>
      </c>
      <c r="F13" s="297">
        <f>+D13/$F$6</f>
        <v>430.03046049095144</v>
      </c>
      <c r="G13" s="298">
        <v>15000</v>
      </c>
      <c r="H13" s="299">
        <v>176</v>
      </c>
      <c r="I13" s="300">
        <f t="shared" si="0"/>
        <v>54545.454545454544</v>
      </c>
      <c r="J13" s="306">
        <v>0.95</v>
      </c>
      <c r="K13" s="307">
        <v>0.9</v>
      </c>
      <c r="L13" s="307">
        <v>0.7</v>
      </c>
    </row>
    <row r="14" spans="1:12" s="291" customFormat="1" ht="17.25" customHeight="1" x14ac:dyDescent="0.6">
      <c r="A14" s="308">
        <v>7</v>
      </c>
      <c r="B14" s="1" t="s">
        <v>310</v>
      </c>
      <c r="C14" s="8"/>
      <c r="D14" s="295">
        <f>D12*52%</f>
        <v>5616000</v>
      </c>
      <c r="E14" s="309" t="s">
        <v>311</v>
      </c>
      <c r="F14" s="310"/>
      <c r="G14" s="311">
        <v>15000</v>
      </c>
      <c r="H14" s="312">
        <v>176</v>
      </c>
      <c r="I14" s="313">
        <f t="shared" si="0"/>
        <v>31909.090909090908</v>
      </c>
      <c r="J14" s="273">
        <f t="shared" ref="J14:J22" si="1">D14*$J$13</f>
        <v>5335200</v>
      </c>
      <c r="K14" s="273">
        <f t="shared" ref="K14:K22" si="2">D14*$K$13</f>
        <v>5054400</v>
      </c>
      <c r="L14" s="273">
        <f t="shared" ref="L14:L22" si="3">D14*$L$13</f>
        <v>3931199.9999999995</v>
      </c>
    </row>
    <row r="15" spans="1:12" s="291" customFormat="1" ht="17.25" customHeight="1" x14ac:dyDescent="0.6">
      <c r="A15" s="308">
        <v>8</v>
      </c>
      <c r="B15" s="1" t="s">
        <v>312</v>
      </c>
      <c r="C15" s="8" t="s">
        <v>313</v>
      </c>
      <c r="D15" s="295">
        <f>D14*E15</f>
        <v>5054400</v>
      </c>
      <c r="E15" s="309">
        <v>0.9</v>
      </c>
      <c r="F15" s="310"/>
      <c r="G15" s="311">
        <v>15000</v>
      </c>
      <c r="H15" s="312">
        <v>176</v>
      </c>
      <c r="I15" s="313">
        <f t="shared" si="0"/>
        <v>28718.18181818182</v>
      </c>
      <c r="J15" s="273">
        <f t="shared" si="1"/>
        <v>4801680</v>
      </c>
      <c r="K15" s="273">
        <f t="shared" si="2"/>
        <v>4548960</v>
      </c>
      <c r="L15" s="273">
        <f t="shared" si="3"/>
        <v>3538080</v>
      </c>
    </row>
    <row r="16" spans="1:12" ht="17.25" customHeight="1" x14ac:dyDescent="0.6">
      <c r="A16" s="308">
        <v>9</v>
      </c>
      <c r="B16" s="1" t="s">
        <v>314</v>
      </c>
      <c r="C16" s="8" t="s">
        <v>315</v>
      </c>
      <c r="D16" s="295">
        <f>D14*E16</f>
        <v>4492800</v>
      </c>
      <c r="E16" s="309">
        <v>0.8</v>
      </c>
      <c r="F16" s="310"/>
      <c r="G16" s="311">
        <v>15000</v>
      </c>
      <c r="H16" s="312">
        <v>176</v>
      </c>
      <c r="I16" s="313">
        <f t="shared" si="0"/>
        <v>25527.272727272728</v>
      </c>
      <c r="J16" s="273">
        <f t="shared" si="1"/>
        <v>4268160</v>
      </c>
      <c r="K16" s="273">
        <f t="shared" si="2"/>
        <v>4043520</v>
      </c>
      <c r="L16" s="273">
        <f t="shared" si="3"/>
        <v>3144960</v>
      </c>
    </row>
    <row r="17" spans="1:12" ht="17.25" customHeight="1" x14ac:dyDescent="0.6">
      <c r="A17" s="308">
        <v>10</v>
      </c>
      <c r="B17" s="1" t="s">
        <v>57</v>
      </c>
      <c r="C17" s="8"/>
      <c r="D17" s="295">
        <f>D14*E17</f>
        <v>3931199.9999999995</v>
      </c>
      <c r="E17" s="309">
        <v>0.7</v>
      </c>
      <c r="F17" s="310"/>
      <c r="G17" s="311">
        <v>15000</v>
      </c>
      <c r="H17" s="312">
        <v>176</v>
      </c>
      <c r="I17" s="313">
        <f t="shared" si="0"/>
        <v>22336.363636363632</v>
      </c>
      <c r="J17" s="273">
        <f t="shared" si="1"/>
        <v>3734639.9999999995</v>
      </c>
      <c r="K17" s="273">
        <f t="shared" si="2"/>
        <v>3538079.9999999995</v>
      </c>
      <c r="L17" s="273">
        <f t="shared" si="3"/>
        <v>2751839.9999999995</v>
      </c>
    </row>
    <row r="18" spans="1:12" ht="17.25" customHeight="1" x14ac:dyDescent="0.6">
      <c r="A18" s="308">
        <v>11</v>
      </c>
      <c r="B18" s="1" t="s">
        <v>316</v>
      </c>
      <c r="C18" s="8"/>
      <c r="D18" s="295">
        <f>D14*E18</f>
        <v>3650400</v>
      </c>
      <c r="E18" s="309">
        <v>0.65</v>
      </c>
      <c r="F18" s="310"/>
      <c r="G18" s="311">
        <v>15000</v>
      </c>
      <c r="H18" s="312">
        <v>176</v>
      </c>
      <c r="I18" s="313">
        <f t="shared" si="0"/>
        <v>20740.909090909092</v>
      </c>
      <c r="J18" s="273">
        <f t="shared" si="1"/>
        <v>3467880</v>
      </c>
      <c r="K18" s="273">
        <f t="shared" si="2"/>
        <v>3285360</v>
      </c>
      <c r="L18" s="273">
        <f t="shared" si="3"/>
        <v>2555280</v>
      </c>
    </row>
    <row r="19" spans="1:12" ht="17.25" customHeight="1" x14ac:dyDescent="0.6">
      <c r="A19" s="308">
        <v>12</v>
      </c>
      <c r="B19" s="1" t="s">
        <v>59</v>
      </c>
      <c r="C19" s="8" t="s">
        <v>317</v>
      </c>
      <c r="D19" s="295">
        <f>D14*E19</f>
        <v>3369600</v>
      </c>
      <c r="E19" s="309">
        <v>0.6</v>
      </c>
      <c r="F19" s="310"/>
      <c r="G19" s="311">
        <v>15000</v>
      </c>
      <c r="H19" s="312">
        <v>176</v>
      </c>
      <c r="I19" s="313">
        <f t="shared" si="0"/>
        <v>19145.454545454544</v>
      </c>
      <c r="J19" s="273">
        <f t="shared" si="1"/>
        <v>3201120</v>
      </c>
      <c r="K19" s="273">
        <f t="shared" si="2"/>
        <v>3032640</v>
      </c>
      <c r="L19" s="273">
        <f t="shared" si="3"/>
        <v>2358720</v>
      </c>
    </row>
    <row r="20" spans="1:12" ht="17.25" customHeight="1" x14ac:dyDescent="0.6">
      <c r="A20" s="308">
        <v>13</v>
      </c>
      <c r="B20" s="314" t="s">
        <v>318</v>
      </c>
      <c r="C20" s="311"/>
      <c r="D20" s="295">
        <f>D14*E20</f>
        <v>2808000</v>
      </c>
      <c r="E20" s="309">
        <v>0.5</v>
      </c>
      <c r="F20" s="310"/>
      <c r="G20" s="311">
        <v>15000</v>
      </c>
      <c r="H20" s="312">
        <v>176</v>
      </c>
      <c r="I20" s="313">
        <f t="shared" si="0"/>
        <v>15954.545454545454</v>
      </c>
      <c r="J20" s="273">
        <f t="shared" si="1"/>
        <v>2667600</v>
      </c>
      <c r="K20" s="273">
        <f t="shared" si="2"/>
        <v>2527200</v>
      </c>
      <c r="L20" s="273">
        <f t="shared" si="3"/>
        <v>1965599.9999999998</v>
      </c>
    </row>
    <row r="21" spans="1:12" ht="17.25" customHeight="1" x14ac:dyDescent="0.6">
      <c r="A21" s="308">
        <v>14</v>
      </c>
      <c r="B21" s="314" t="s">
        <v>319</v>
      </c>
      <c r="C21" s="311"/>
      <c r="D21" s="295">
        <f>D14*E21</f>
        <v>2527200</v>
      </c>
      <c r="E21" s="309">
        <v>0.45</v>
      </c>
      <c r="F21" s="310"/>
      <c r="G21" s="311">
        <v>15000</v>
      </c>
      <c r="H21" s="312">
        <v>176</v>
      </c>
      <c r="I21" s="313">
        <f t="shared" si="0"/>
        <v>14359.09090909091</v>
      </c>
      <c r="J21" s="273">
        <f t="shared" si="1"/>
        <v>2400840</v>
      </c>
      <c r="K21" s="273">
        <f t="shared" si="2"/>
        <v>2274480</v>
      </c>
      <c r="L21" s="273">
        <f t="shared" si="3"/>
        <v>1769040</v>
      </c>
    </row>
    <row r="22" spans="1:12" ht="17.25" customHeight="1" x14ac:dyDescent="0.6">
      <c r="A22" s="308">
        <v>15</v>
      </c>
      <c r="B22" s="314" t="s">
        <v>320</v>
      </c>
      <c r="C22" s="311"/>
      <c r="D22" s="295">
        <f>D14*E22</f>
        <v>1684800</v>
      </c>
      <c r="E22" s="309">
        <v>0.3</v>
      </c>
      <c r="F22" s="310"/>
      <c r="G22" s="311">
        <v>15000</v>
      </c>
      <c r="H22" s="312">
        <v>176</v>
      </c>
      <c r="I22" s="313">
        <f t="shared" si="0"/>
        <v>9572.7272727272721</v>
      </c>
      <c r="J22" s="273">
        <f t="shared" si="1"/>
        <v>1600560</v>
      </c>
      <c r="K22" s="273">
        <f t="shared" si="2"/>
        <v>1516320</v>
      </c>
      <c r="L22" s="273">
        <f t="shared" si="3"/>
        <v>1179360</v>
      </c>
    </row>
    <row r="23" spans="1:12" ht="17.25" customHeight="1" x14ac:dyDescent="0.6">
      <c r="A23" s="315"/>
      <c r="B23" s="316" t="s">
        <v>321</v>
      </c>
      <c r="C23" s="315"/>
      <c r="D23" s="317"/>
      <c r="E23" s="315"/>
      <c r="F23" s="315"/>
      <c r="G23" s="315"/>
      <c r="H23" s="315"/>
      <c r="I23" s="315"/>
      <c r="J23" s="318">
        <v>0.95</v>
      </c>
      <c r="K23" s="318">
        <v>0.9</v>
      </c>
      <c r="L23" s="318">
        <v>0.7</v>
      </c>
    </row>
    <row r="24" spans="1:12" s="302" customFormat="1" ht="17.25" customHeight="1" x14ac:dyDescent="0.6">
      <c r="A24" s="319">
        <v>1</v>
      </c>
      <c r="B24" s="293" t="s">
        <v>322</v>
      </c>
      <c r="C24" s="294"/>
      <c r="D24" s="294"/>
      <c r="E24" s="320" t="s">
        <v>323</v>
      </c>
      <c r="F24" s="321"/>
      <c r="G24" s="298">
        <v>15000</v>
      </c>
      <c r="H24" s="299">
        <v>176</v>
      </c>
      <c r="I24" s="300">
        <f>+D24/H24</f>
        <v>0</v>
      </c>
      <c r="J24" s="322"/>
      <c r="K24" s="322"/>
      <c r="L24" s="322"/>
    </row>
    <row r="25" spans="1:12" s="302" customFormat="1" ht="17.25" customHeight="1" x14ac:dyDescent="0.6">
      <c r="A25" s="319">
        <v>2</v>
      </c>
      <c r="B25" s="293" t="s">
        <v>324</v>
      </c>
      <c r="C25" s="294"/>
      <c r="D25" s="294"/>
      <c r="E25" s="320">
        <v>0.86</v>
      </c>
      <c r="F25" s="321"/>
      <c r="G25" s="298">
        <v>15000</v>
      </c>
      <c r="H25" s="299">
        <v>176</v>
      </c>
      <c r="I25" s="300">
        <f>D25/H25</f>
        <v>0</v>
      </c>
      <c r="J25" s="322"/>
      <c r="K25" s="322"/>
      <c r="L25" s="322"/>
    </row>
    <row r="26" spans="1:12" s="302" customFormat="1" ht="17.25" customHeight="1" x14ac:dyDescent="0.6">
      <c r="A26" s="319">
        <v>3</v>
      </c>
      <c r="B26" s="293" t="s">
        <v>325</v>
      </c>
      <c r="C26" s="294"/>
      <c r="D26" s="294"/>
      <c r="E26" s="320">
        <v>0.57999999999999996</v>
      </c>
      <c r="F26" s="321"/>
      <c r="G26" s="298">
        <v>15000</v>
      </c>
      <c r="H26" s="299">
        <v>176</v>
      </c>
      <c r="I26" s="300">
        <f>+D26/H26</f>
        <v>0</v>
      </c>
      <c r="J26" s="322"/>
      <c r="K26" s="322"/>
      <c r="L26" s="322"/>
    </row>
    <row r="27" spans="1:12" s="302" customFormat="1" ht="17.25" customHeight="1" x14ac:dyDescent="0.6">
      <c r="A27" s="319">
        <v>4</v>
      </c>
      <c r="B27" s="293" t="s">
        <v>326</v>
      </c>
      <c r="C27" s="294"/>
      <c r="D27" s="294"/>
      <c r="E27" s="320">
        <v>0.5</v>
      </c>
      <c r="F27" s="321"/>
      <c r="G27" s="298">
        <v>15000</v>
      </c>
      <c r="H27" s="299">
        <v>176</v>
      </c>
      <c r="I27" s="300">
        <f>+D27/H27</f>
        <v>0</v>
      </c>
      <c r="J27" s="322"/>
      <c r="K27" s="322"/>
      <c r="L27" s="322"/>
    </row>
    <row r="28" spans="1:12" s="302" customFormat="1" ht="17.25" customHeight="1" x14ac:dyDescent="0.6">
      <c r="A28" s="319">
        <v>5</v>
      </c>
      <c r="B28" s="293" t="s">
        <v>327</v>
      </c>
      <c r="C28" s="294"/>
      <c r="D28" s="294"/>
      <c r="E28" s="320">
        <v>0.45</v>
      </c>
      <c r="F28" s="321"/>
      <c r="G28" s="298">
        <v>15000</v>
      </c>
      <c r="H28" s="299">
        <v>176</v>
      </c>
      <c r="I28" s="300">
        <f>+D28/H28</f>
        <v>0</v>
      </c>
      <c r="J28" s="322"/>
      <c r="K28" s="322"/>
      <c r="L28" s="322"/>
    </row>
    <row r="29" spans="1:12" s="302" customFormat="1" ht="17.25" customHeight="1" x14ac:dyDescent="0.6">
      <c r="A29" s="319">
        <v>6</v>
      </c>
      <c r="B29" s="293" t="s">
        <v>328</v>
      </c>
      <c r="C29" s="294"/>
      <c r="D29" s="294"/>
      <c r="E29" s="320">
        <v>0.4</v>
      </c>
      <c r="F29" s="321"/>
      <c r="G29" s="298">
        <v>15000</v>
      </c>
      <c r="H29" s="299">
        <v>176</v>
      </c>
      <c r="I29" s="300">
        <f>+D29/H29</f>
        <v>0</v>
      </c>
      <c r="J29" s="322"/>
      <c r="K29" s="322"/>
      <c r="L29" s="322"/>
    </row>
    <row r="30" spans="1:12" ht="17.25" customHeight="1" x14ac:dyDescent="0.6">
      <c r="A30" s="323">
        <v>7</v>
      </c>
      <c r="B30" s="1" t="s">
        <v>329</v>
      </c>
      <c r="C30" s="8"/>
      <c r="D30" s="324"/>
      <c r="E30" s="309" t="s">
        <v>330</v>
      </c>
      <c r="F30" s="310"/>
      <c r="G30" s="311">
        <v>15000</v>
      </c>
      <c r="H30" s="312">
        <v>176</v>
      </c>
      <c r="I30" s="313">
        <f t="shared" ref="I30:I38" si="4">D30/H30</f>
        <v>0</v>
      </c>
      <c r="J30" s="273">
        <f t="shared" ref="J30:J38" si="5">D30*$J$23</f>
        <v>0</v>
      </c>
      <c r="K30" s="273">
        <f t="shared" ref="K30:K38" si="6">D30*$K$23</f>
        <v>0</v>
      </c>
      <c r="L30" s="273">
        <f t="shared" ref="L30:L38" si="7">D30*$L$23</f>
        <v>0</v>
      </c>
    </row>
    <row r="31" spans="1:12" ht="17.25" customHeight="1" x14ac:dyDescent="0.6">
      <c r="A31" s="323">
        <v>8</v>
      </c>
      <c r="B31" s="1" t="s">
        <v>331</v>
      </c>
      <c r="C31" s="8" t="s">
        <v>332</v>
      </c>
      <c r="D31" s="324"/>
      <c r="E31" s="309">
        <v>0.9</v>
      </c>
      <c r="F31" s="310"/>
      <c r="G31" s="311">
        <v>15000</v>
      </c>
      <c r="H31" s="312">
        <v>176</v>
      </c>
      <c r="I31" s="313">
        <f t="shared" si="4"/>
        <v>0</v>
      </c>
      <c r="J31" s="273">
        <f t="shared" si="5"/>
        <v>0</v>
      </c>
      <c r="K31" s="273">
        <f t="shared" si="6"/>
        <v>0</v>
      </c>
      <c r="L31" s="273">
        <f t="shared" si="7"/>
        <v>0</v>
      </c>
    </row>
    <row r="32" spans="1:12" ht="17.25" customHeight="1" x14ac:dyDescent="0.6">
      <c r="A32" s="323">
        <v>9</v>
      </c>
      <c r="B32" s="1" t="s">
        <v>333</v>
      </c>
      <c r="C32" s="8" t="s">
        <v>315</v>
      </c>
      <c r="D32" s="324"/>
      <c r="E32" s="309">
        <v>0.8</v>
      </c>
      <c r="F32" s="310"/>
      <c r="G32" s="311">
        <v>15000</v>
      </c>
      <c r="H32" s="312">
        <v>176</v>
      </c>
      <c r="I32" s="313">
        <f t="shared" si="4"/>
        <v>0</v>
      </c>
      <c r="J32" s="273">
        <f t="shared" si="5"/>
        <v>0</v>
      </c>
      <c r="K32" s="273">
        <f t="shared" si="6"/>
        <v>0</v>
      </c>
      <c r="L32" s="273">
        <f t="shared" si="7"/>
        <v>0</v>
      </c>
    </row>
    <row r="33" spans="1:14" ht="17.25" customHeight="1" x14ac:dyDescent="0.6">
      <c r="A33" s="323">
        <v>10</v>
      </c>
      <c r="B33" s="1" t="s">
        <v>58</v>
      </c>
      <c r="C33" s="8"/>
      <c r="D33" s="324"/>
      <c r="E33" s="309">
        <v>0.7</v>
      </c>
      <c r="F33" s="310"/>
      <c r="G33" s="311">
        <v>15000</v>
      </c>
      <c r="H33" s="312">
        <v>176</v>
      </c>
      <c r="I33" s="313">
        <f t="shared" si="4"/>
        <v>0</v>
      </c>
      <c r="J33" s="273">
        <f t="shared" si="5"/>
        <v>0</v>
      </c>
      <c r="K33" s="273">
        <f t="shared" si="6"/>
        <v>0</v>
      </c>
      <c r="L33" s="273">
        <f t="shared" si="7"/>
        <v>0</v>
      </c>
      <c r="N33" s="325">
        <f>D33-D17</f>
        <v>-3931199.9999999995</v>
      </c>
    </row>
    <row r="34" spans="1:14" ht="17.25" customHeight="1" x14ac:dyDescent="0.6">
      <c r="A34" s="323">
        <v>11</v>
      </c>
      <c r="B34" s="1" t="s">
        <v>334</v>
      </c>
      <c r="C34" s="8"/>
      <c r="D34" s="324"/>
      <c r="E34" s="309">
        <v>0.65</v>
      </c>
      <c r="F34" s="310"/>
      <c r="G34" s="311">
        <v>15000</v>
      </c>
      <c r="H34" s="312">
        <v>176</v>
      </c>
      <c r="I34" s="313">
        <f t="shared" si="4"/>
        <v>0</v>
      </c>
      <c r="J34" s="273">
        <f t="shared" si="5"/>
        <v>0</v>
      </c>
      <c r="K34" s="273">
        <f t="shared" si="6"/>
        <v>0</v>
      </c>
      <c r="L34" s="273">
        <f t="shared" si="7"/>
        <v>0</v>
      </c>
    </row>
    <row r="35" spans="1:14" ht="17.25" customHeight="1" x14ac:dyDescent="0.6">
      <c r="A35" s="323">
        <v>12</v>
      </c>
      <c r="B35" s="1" t="s">
        <v>335</v>
      </c>
      <c r="C35" s="8" t="s">
        <v>317</v>
      </c>
      <c r="D35" s="324"/>
      <c r="E35" s="309">
        <v>0.6</v>
      </c>
      <c r="F35" s="310"/>
      <c r="G35" s="311">
        <v>15000</v>
      </c>
      <c r="H35" s="312">
        <v>176</v>
      </c>
      <c r="I35" s="313">
        <f t="shared" si="4"/>
        <v>0</v>
      </c>
      <c r="J35" s="273">
        <f t="shared" si="5"/>
        <v>0</v>
      </c>
      <c r="K35" s="273">
        <f t="shared" si="6"/>
        <v>0</v>
      </c>
      <c r="L35" s="273">
        <f t="shared" si="7"/>
        <v>0</v>
      </c>
    </row>
    <row r="36" spans="1:14" ht="17.25" customHeight="1" x14ac:dyDescent="0.6">
      <c r="A36" s="323">
        <v>13</v>
      </c>
      <c r="B36" s="314" t="s">
        <v>336</v>
      </c>
      <c r="C36" s="311"/>
      <c r="D36" s="324"/>
      <c r="E36" s="309">
        <v>0.5</v>
      </c>
      <c r="F36" s="310"/>
      <c r="G36" s="311">
        <v>15000</v>
      </c>
      <c r="H36" s="312">
        <v>176</v>
      </c>
      <c r="I36" s="313">
        <f t="shared" si="4"/>
        <v>0</v>
      </c>
      <c r="J36" s="273">
        <f t="shared" si="5"/>
        <v>0</v>
      </c>
      <c r="K36" s="273">
        <f t="shared" si="6"/>
        <v>0</v>
      </c>
      <c r="L36" s="273">
        <f t="shared" si="7"/>
        <v>0</v>
      </c>
    </row>
    <row r="37" spans="1:14" ht="17.25" customHeight="1" x14ac:dyDescent="0.6">
      <c r="A37" s="323">
        <v>14</v>
      </c>
      <c r="B37" s="314" t="s">
        <v>337</v>
      </c>
      <c r="C37" s="311"/>
      <c r="D37" s="324"/>
      <c r="E37" s="309">
        <v>0.45</v>
      </c>
      <c r="F37" s="310"/>
      <c r="G37" s="311">
        <v>15000</v>
      </c>
      <c r="H37" s="312">
        <v>176</v>
      </c>
      <c r="I37" s="313">
        <f t="shared" si="4"/>
        <v>0</v>
      </c>
      <c r="J37" s="273">
        <f t="shared" si="5"/>
        <v>0</v>
      </c>
      <c r="K37" s="273">
        <f t="shared" si="6"/>
        <v>0</v>
      </c>
      <c r="L37" s="273">
        <f t="shared" si="7"/>
        <v>0</v>
      </c>
    </row>
    <row r="38" spans="1:14" ht="17.25" customHeight="1" x14ac:dyDescent="0.6">
      <c r="A38" s="323">
        <v>15</v>
      </c>
      <c r="B38" s="314" t="s">
        <v>338</v>
      </c>
      <c r="C38" s="311"/>
      <c r="D38" s="324"/>
      <c r="E38" s="309">
        <v>0.3</v>
      </c>
      <c r="F38" s="310"/>
      <c r="G38" s="311">
        <v>15000</v>
      </c>
      <c r="H38" s="312">
        <v>176</v>
      </c>
      <c r="I38" s="313">
        <f t="shared" si="4"/>
        <v>0</v>
      </c>
      <c r="J38" s="273">
        <f t="shared" si="5"/>
        <v>0</v>
      </c>
      <c r="K38" s="273">
        <f t="shared" si="6"/>
        <v>0</v>
      </c>
      <c r="L38" s="273">
        <f t="shared" si="7"/>
        <v>0</v>
      </c>
      <c r="M38" s="325"/>
    </row>
    <row r="39" spans="1:14" ht="17.25" customHeight="1" x14ac:dyDescent="0.6">
      <c r="A39" s="315"/>
      <c r="B39" s="316" t="s">
        <v>339</v>
      </c>
      <c r="C39" s="326"/>
      <c r="D39" s="327"/>
      <c r="E39" s="328"/>
      <c r="F39" s="328"/>
      <c r="G39" s="328"/>
      <c r="H39" s="328"/>
      <c r="I39" s="328"/>
      <c r="J39" s="318">
        <v>0.95</v>
      </c>
      <c r="K39" s="318">
        <v>0.9</v>
      </c>
      <c r="L39" s="318">
        <v>0.7</v>
      </c>
    </row>
    <row r="40" spans="1:14" s="302" customFormat="1" ht="17.25" customHeight="1" x14ac:dyDescent="0.6">
      <c r="A40" s="319">
        <v>1</v>
      </c>
      <c r="B40" s="293" t="s">
        <v>340</v>
      </c>
      <c r="C40" s="294"/>
      <c r="D40" s="294"/>
      <c r="E40" s="320" t="s">
        <v>341</v>
      </c>
      <c r="F40" s="329"/>
      <c r="G40" s="298">
        <v>15000</v>
      </c>
      <c r="H40" s="299">
        <v>176</v>
      </c>
      <c r="I40" s="300">
        <f t="shared" ref="I40:I54" si="8">D40/H40</f>
        <v>0</v>
      </c>
    </row>
    <row r="41" spans="1:14" s="302" customFormat="1" ht="17.25" customHeight="1" x14ac:dyDescent="0.6">
      <c r="A41" s="319">
        <v>2</v>
      </c>
      <c r="B41" s="293" t="s">
        <v>342</v>
      </c>
      <c r="C41" s="294"/>
      <c r="D41" s="294"/>
      <c r="E41" s="320">
        <v>0.86</v>
      </c>
      <c r="F41" s="329"/>
      <c r="G41" s="298">
        <v>15000</v>
      </c>
      <c r="H41" s="299">
        <v>176</v>
      </c>
      <c r="I41" s="300">
        <f t="shared" si="8"/>
        <v>0</v>
      </c>
    </row>
    <row r="42" spans="1:14" s="302" customFormat="1" ht="17.25" customHeight="1" x14ac:dyDescent="0.6">
      <c r="A42" s="319">
        <v>3</v>
      </c>
      <c r="B42" s="293" t="s">
        <v>343</v>
      </c>
      <c r="C42" s="294"/>
      <c r="D42" s="294"/>
      <c r="E42" s="320">
        <v>0.57999999999999996</v>
      </c>
      <c r="F42" s="329"/>
      <c r="G42" s="298">
        <v>15000</v>
      </c>
      <c r="H42" s="299">
        <v>176</v>
      </c>
      <c r="I42" s="300">
        <f t="shared" si="8"/>
        <v>0</v>
      </c>
    </row>
    <row r="43" spans="1:14" s="302" customFormat="1" ht="17.25" customHeight="1" x14ac:dyDescent="0.6">
      <c r="A43" s="319">
        <v>4</v>
      </c>
      <c r="B43" s="293" t="s">
        <v>344</v>
      </c>
      <c r="C43" s="294"/>
      <c r="D43" s="294"/>
      <c r="E43" s="320">
        <v>0.5</v>
      </c>
      <c r="F43" s="329"/>
      <c r="G43" s="298">
        <v>15000</v>
      </c>
      <c r="H43" s="299">
        <v>176</v>
      </c>
      <c r="I43" s="300">
        <f t="shared" si="8"/>
        <v>0</v>
      </c>
    </row>
    <row r="44" spans="1:14" s="302" customFormat="1" ht="17.25" customHeight="1" x14ac:dyDescent="0.6">
      <c r="A44" s="319">
        <v>5</v>
      </c>
      <c r="B44" s="293" t="s">
        <v>345</v>
      </c>
      <c r="C44" s="294"/>
      <c r="D44" s="294"/>
      <c r="E44" s="320">
        <v>0.45</v>
      </c>
      <c r="F44" s="329"/>
      <c r="G44" s="298">
        <v>15000</v>
      </c>
      <c r="H44" s="299">
        <v>176</v>
      </c>
      <c r="I44" s="300">
        <f t="shared" si="8"/>
        <v>0</v>
      </c>
      <c r="L44" s="305"/>
    </row>
    <row r="45" spans="1:14" s="302" customFormat="1" ht="17.25" customHeight="1" x14ac:dyDescent="0.6">
      <c r="A45" s="319">
        <v>6</v>
      </c>
      <c r="B45" s="293" t="s">
        <v>346</v>
      </c>
      <c r="C45" s="294"/>
      <c r="D45" s="294"/>
      <c r="E45" s="320">
        <v>0.4</v>
      </c>
      <c r="F45" s="329"/>
      <c r="G45" s="298">
        <v>15000</v>
      </c>
      <c r="H45" s="299">
        <v>176</v>
      </c>
      <c r="I45" s="300">
        <f t="shared" si="8"/>
        <v>0</v>
      </c>
    </row>
    <row r="46" spans="1:14" ht="17.25" customHeight="1" x14ac:dyDescent="0.6">
      <c r="A46" s="323">
        <v>7</v>
      </c>
      <c r="B46" s="1" t="s">
        <v>347</v>
      </c>
      <c r="C46" s="8"/>
      <c r="D46" s="324"/>
      <c r="E46" s="309" t="s">
        <v>348</v>
      </c>
      <c r="F46" s="310"/>
      <c r="G46" s="311">
        <v>15000</v>
      </c>
      <c r="H46" s="312">
        <v>176</v>
      </c>
      <c r="I46" s="313">
        <f t="shared" si="8"/>
        <v>0</v>
      </c>
      <c r="J46" s="273">
        <f t="shared" ref="J46:J54" si="9">D46*$J$39</f>
        <v>0</v>
      </c>
    </row>
    <row r="47" spans="1:14" ht="17.25" customHeight="1" x14ac:dyDescent="0.6">
      <c r="A47" s="323">
        <v>8</v>
      </c>
      <c r="B47" s="1" t="s">
        <v>349</v>
      </c>
      <c r="C47" s="8" t="s">
        <v>332</v>
      </c>
      <c r="D47" s="324"/>
      <c r="E47" s="309">
        <v>0.9</v>
      </c>
      <c r="F47" s="310"/>
      <c r="G47" s="311">
        <v>15000</v>
      </c>
      <c r="H47" s="312">
        <v>176</v>
      </c>
      <c r="I47" s="313">
        <f t="shared" si="8"/>
        <v>0</v>
      </c>
      <c r="J47" s="273">
        <f t="shared" si="9"/>
        <v>0</v>
      </c>
    </row>
    <row r="48" spans="1:14" ht="17.25" customHeight="1" x14ac:dyDescent="0.6">
      <c r="A48" s="323">
        <v>9</v>
      </c>
      <c r="B48" s="1" t="s">
        <v>350</v>
      </c>
      <c r="C48" s="8" t="s">
        <v>315</v>
      </c>
      <c r="D48" s="324"/>
      <c r="E48" s="309">
        <v>0.8</v>
      </c>
      <c r="F48" s="310"/>
      <c r="G48" s="311">
        <v>15000</v>
      </c>
      <c r="H48" s="312">
        <v>176</v>
      </c>
      <c r="I48" s="313">
        <f t="shared" si="8"/>
        <v>0</v>
      </c>
      <c r="J48" s="273">
        <f t="shared" si="9"/>
        <v>0</v>
      </c>
    </row>
    <row r="49" spans="1:10" ht="17.25" customHeight="1" x14ac:dyDescent="0.6">
      <c r="A49" s="323">
        <v>10</v>
      </c>
      <c r="B49" s="1" t="s">
        <v>351</v>
      </c>
      <c r="C49" s="8"/>
      <c r="D49" s="324"/>
      <c r="E49" s="309">
        <v>0.7</v>
      </c>
      <c r="F49" s="310"/>
      <c r="G49" s="311">
        <v>15000</v>
      </c>
      <c r="H49" s="312">
        <v>176</v>
      </c>
      <c r="I49" s="313">
        <f t="shared" si="8"/>
        <v>0</v>
      </c>
      <c r="J49" s="273">
        <f t="shared" si="9"/>
        <v>0</v>
      </c>
    </row>
    <row r="50" spans="1:10" ht="17.25" customHeight="1" x14ac:dyDescent="0.6">
      <c r="A50" s="323">
        <v>11</v>
      </c>
      <c r="B50" s="1" t="s">
        <v>352</v>
      </c>
      <c r="C50" s="8"/>
      <c r="D50" s="324"/>
      <c r="E50" s="309">
        <v>0.65</v>
      </c>
      <c r="F50" s="310"/>
      <c r="G50" s="311">
        <v>15000</v>
      </c>
      <c r="H50" s="312">
        <v>176</v>
      </c>
      <c r="I50" s="313">
        <f t="shared" si="8"/>
        <v>0</v>
      </c>
      <c r="J50" s="273">
        <f t="shared" si="9"/>
        <v>0</v>
      </c>
    </row>
    <row r="51" spans="1:10" ht="17.25" customHeight="1" x14ac:dyDescent="0.6">
      <c r="A51" s="323">
        <v>12</v>
      </c>
      <c r="B51" s="1" t="s">
        <v>353</v>
      </c>
      <c r="C51" s="8" t="s">
        <v>317</v>
      </c>
      <c r="D51" s="324"/>
      <c r="E51" s="309">
        <v>0.6</v>
      </c>
      <c r="F51" s="310"/>
      <c r="G51" s="311">
        <v>15000</v>
      </c>
      <c r="H51" s="312">
        <v>176</v>
      </c>
      <c r="I51" s="313">
        <f t="shared" si="8"/>
        <v>0</v>
      </c>
      <c r="J51" s="273">
        <f t="shared" si="9"/>
        <v>0</v>
      </c>
    </row>
    <row r="52" spans="1:10" ht="17.25" customHeight="1" x14ac:dyDescent="0.6">
      <c r="A52" s="323">
        <v>13</v>
      </c>
      <c r="B52" s="314" t="s">
        <v>354</v>
      </c>
      <c r="C52" s="311"/>
      <c r="D52" s="324"/>
      <c r="E52" s="309">
        <v>0.5</v>
      </c>
      <c r="F52" s="310"/>
      <c r="G52" s="311">
        <v>15000</v>
      </c>
      <c r="H52" s="312">
        <v>176</v>
      </c>
      <c r="I52" s="313">
        <f t="shared" si="8"/>
        <v>0</v>
      </c>
      <c r="J52" s="273">
        <f t="shared" si="9"/>
        <v>0</v>
      </c>
    </row>
    <row r="53" spans="1:10" ht="17.25" customHeight="1" x14ac:dyDescent="0.6">
      <c r="A53" s="323">
        <v>14</v>
      </c>
      <c r="B53" s="314" t="s">
        <v>355</v>
      </c>
      <c r="C53" s="311"/>
      <c r="D53" s="324"/>
      <c r="E53" s="309">
        <v>0.45</v>
      </c>
      <c r="F53" s="310"/>
      <c r="G53" s="311">
        <v>15000</v>
      </c>
      <c r="H53" s="312">
        <v>176</v>
      </c>
      <c r="I53" s="313">
        <f t="shared" si="8"/>
        <v>0</v>
      </c>
      <c r="J53" s="273">
        <f t="shared" si="9"/>
        <v>0</v>
      </c>
    </row>
    <row r="54" spans="1:10" ht="17.25" customHeight="1" x14ac:dyDescent="0.6">
      <c r="A54" s="323">
        <v>15</v>
      </c>
      <c r="B54" s="314" t="s">
        <v>356</v>
      </c>
      <c r="C54" s="311"/>
      <c r="D54" s="324"/>
      <c r="E54" s="309">
        <v>0.3</v>
      </c>
      <c r="F54" s="310"/>
      <c r="G54" s="311">
        <v>15000</v>
      </c>
      <c r="H54" s="312">
        <v>176</v>
      </c>
      <c r="I54" s="313">
        <f t="shared" si="8"/>
        <v>0</v>
      </c>
      <c r="J54" s="273">
        <f t="shared" si="9"/>
        <v>0</v>
      </c>
    </row>
    <row r="55" spans="1:10" ht="4.5" customHeight="1" x14ac:dyDescent="0.6">
      <c r="C55" s="19"/>
      <c r="D55" s="19"/>
      <c r="E55" s="331"/>
      <c r="F55" s="332"/>
      <c r="G55" s="332"/>
      <c r="I55" s="19"/>
    </row>
    <row r="56" spans="1:10" ht="24" customHeight="1" x14ac:dyDescent="0.6">
      <c r="A56" s="333" t="s">
        <v>357</v>
      </c>
      <c r="B56" s="333"/>
      <c r="C56" s="333"/>
      <c r="D56" s="333"/>
      <c r="E56" s="341" t="s">
        <v>26</v>
      </c>
      <c r="F56" s="341"/>
      <c r="G56" s="341"/>
      <c r="H56" s="341"/>
      <c r="I56" s="341"/>
    </row>
    <row r="57" spans="1:10" ht="24" customHeight="1" x14ac:dyDescent="0.6">
      <c r="A57" s="333"/>
      <c r="B57" s="333"/>
      <c r="C57" s="333"/>
      <c r="D57" s="333"/>
      <c r="E57" s="338"/>
      <c r="F57" s="338"/>
      <c r="G57" s="338"/>
      <c r="H57" s="338"/>
      <c r="I57" s="338"/>
    </row>
    <row r="58" spans="1:10" ht="24" customHeight="1" x14ac:dyDescent="0.6">
      <c r="A58" s="333"/>
      <c r="B58" s="333"/>
      <c r="C58" s="333"/>
      <c r="D58" s="333"/>
      <c r="E58" s="338"/>
      <c r="F58" s="338"/>
      <c r="G58" s="338"/>
      <c r="H58" s="338"/>
      <c r="I58" s="338"/>
    </row>
    <row r="59" spans="1:10" ht="24" customHeight="1" x14ac:dyDescent="0.6">
      <c r="A59" s="333"/>
      <c r="B59" s="333"/>
      <c r="C59" s="333"/>
      <c r="D59" s="333"/>
      <c r="E59" s="338"/>
      <c r="F59" s="338"/>
      <c r="G59" s="338"/>
      <c r="H59" s="338"/>
      <c r="I59" s="338"/>
    </row>
    <row r="60" spans="1:10" ht="24" customHeight="1" x14ac:dyDescent="0.6">
      <c r="A60" s="333"/>
      <c r="B60" s="333"/>
      <c r="C60" s="333"/>
      <c r="D60" s="333"/>
      <c r="E60" s="338"/>
      <c r="F60" s="338"/>
      <c r="G60" s="338"/>
      <c r="H60" s="338"/>
      <c r="I60" s="338"/>
    </row>
    <row r="61" spans="1:10" ht="24" customHeight="1" x14ac:dyDescent="0.6">
      <c r="A61" s="333"/>
      <c r="B61" s="333"/>
      <c r="C61" s="333"/>
      <c r="D61" s="333"/>
      <c r="E61" s="338"/>
      <c r="F61" s="338"/>
      <c r="G61" s="338"/>
      <c r="H61" s="338"/>
      <c r="I61" s="338"/>
    </row>
    <row r="62" spans="1:10" ht="24" customHeight="1" x14ac:dyDescent="0.6">
      <c r="A62" s="333"/>
      <c r="B62" s="333"/>
      <c r="C62" s="333"/>
      <c r="D62" s="333"/>
      <c r="E62" s="338"/>
      <c r="F62" s="338"/>
      <c r="G62" s="338"/>
      <c r="H62" s="338"/>
      <c r="I62" s="338"/>
    </row>
    <row r="63" spans="1:10" ht="24" customHeight="1" x14ac:dyDescent="0.6">
      <c r="A63" s="333"/>
      <c r="B63" s="333"/>
      <c r="C63" s="333"/>
      <c r="D63" s="333"/>
      <c r="E63" s="338"/>
      <c r="F63" s="338"/>
      <c r="G63" s="338"/>
      <c r="H63" s="338"/>
      <c r="I63" s="338"/>
    </row>
    <row r="64" spans="1:10" ht="24" customHeight="1" x14ac:dyDescent="0.6">
      <c r="A64" s="333"/>
      <c r="B64" s="333"/>
      <c r="C64" s="333"/>
      <c r="D64" s="333"/>
      <c r="E64" s="338"/>
      <c r="F64" s="338"/>
      <c r="G64" s="338"/>
      <c r="H64" s="338"/>
      <c r="I64" s="338"/>
    </row>
    <row r="65" spans="1:9" ht="24" customHeight="1" x14ac:dyDescent="0.6">
      <c r="A65" s="333"/>
      <c r="B65" s="333"/>
      <c r="C65" s="333"/>
      <c r="D65" s="333"/>
      <c r="E65" s="338"/>
      <c r="F65" s="338"/>
      <c r="G65" s="338"/>
      <c r="H65" s="338"/>
      <c r="I65" s="338"/>
    </row>
    <row r="66" spans="1:9" ht="24" customHeight="1" x14ac:dyDescent="0.6">
      <c r="A66" s="333"/>
      <c r="B66" s="333"/>
      <c r="C66" s="333"/>
      <c r="D66" s="333"/>
      <c r="E66" s="338"/>
      <c r="F66" s="338"/>
      <c r="G66" s="338"/>
      <c r="H66" s="338"/>
      <c r="I66" s="338"/>
    </row>
    <row r="67" spans="1:9" ht="24" customHeight="1" x14ac:dyDescent="0.6">
      <c r="A67" s="333"/>
      <c r="B67" s="333"/>
      <c r="C67" s="333"/>
      <c r="D67" s="333"/>
      <c r="E67" s="338"/>
      <c r="F67" s="338"/>
      <c r="G67" s="338"/>
      <c r="H67" s="338"/>
      <c r="I67" s="338"/>
    </row>
    <row r="68" spans="1:9" ht="24" customHeight="1" x14ac:dyDescent="0.6">
      <c r="A68" s="333"/>
      <c r="B68" s="333"/>
      <c r="C68" s="333"/>
      <c r="D68" s="333"/>
      <c r="E68" s="338"/>
      <c r="F68" s="338"/>
      <c r="G68" s="338"/>
      <c r="H68" s="338"/>
      <c r="I68" s="338"/>
    </row>
    <row r="69" spans="1:9" ht="24" customHeight="1" x14ac:dyDescent="0.6">
      <c r="A69" s="333"/>
      <c r="B69" s="333"/>
      <c r="C69" s="333"/>
      <c r="D69" s="333"/>
      <c r="E69" s="338"/>
      <c r="F69" s="338"/>
      <c r="G69" s="338"/>
      <c r="H69" s="338"/>
      <c r="I69" s="338"/>
    </row>
    <row r="70" spans="1:9" ht="24" customHeight="1" x14ac:dyDescent="0.6">
      <c r="A70" s="333"/>
      <c r="B70" s="333"/>
      <c r="C70" s="333"/>
      <c r="D70" s="333"/>
      <c r="E70" s="338"/>
      <c r="F70" s="338"/>
      <c r="G70" s="338"/>
      <c r="H70" s="338"/>
      <c r="I70" s="338"/>
    </row>
    <row r="71" spans="1:9" ht="24" customHeight="1" x14ac:dyDescent="0.6">
      <c r="A71" s="333"/>
      <c r="B71" s="333"/>
      <c r="C71" s="333"/>
      <c r="D71" s="333"/>
      <c r="E71" s="338"/>
      <c r="F71" s="338"/>
      <c r="G71" s="338"/>
      <c r="H71" s="338"/>
      <c r="I71" s="338"/>
    </row>
    <row r="72" spans="1:9" ht="24" customHeight="1" x14ac:dyDescent="0.6">
      <c r="A72" s="333"/>
      <c r="B72" s="333"/>
      <c r="C72" s="333"/>
      <c r="D72" s="333"/>
      <c r="E72" s="338"/>
      <c r="F72" s="338"/>
      <c r="G72" s="338"/>
      <c r="H72" s="338"/>
      <c r="I72" s="338"/>
    </row>
    <row r="73" spans="1:9" ht="24" customHeight="1" x14ac:dyDescent="0.6">
      <c r="A73" s="333"/>
      <c r="B73" s="333"/>
      <c r="C73" s="333"/>
      <c r="D73" s="333"/>
      <c r="E73" s="338"/>
      <c r="F73" s="338"/>
      <c r="G73" s="338"/>
      <c r="H73" s="338"/>
      <c r="I73" s="338"/>
    </row>
    <row r="74" spans="1:9" ht="24" customHeight="1" x14ac:dyDescent="0.6">
      <c r="A74" s="333"/>
      <c r="B74" s="333"/>
      <c r="C74" s="333"/>
      <c r="D74" s="333"/>
      <c r="E74" s="338"/>
      <c r="F74" s="338"/>
      <c r="G74" s="338"/>
      <c r="H74" s="338"/>
      <c r="I74" s="338"/>
    </row>
    <row r="75" spans="1:9" ht="24" customHeight="1" x14ac:dyDescent="0.6">
      <c r="A75" s="333"/>
      <c r="B75" s="333"/>
      <c r="C75" s="333"/>
      <c r="D75" s="333"/>
      <c r="E75" s="338"/>
      <c r="F75" s="338"/>
      <c r="G75" s="338"/>
      <c r="H75" s="338"/>
      <c r="I75" s="338"/>
    </row>
    <row r="76" spans="1:9" ht="24" customHeight="1" x14ac:dyDescent="0.6">
      <c r="A76" s="333"/>
      <c r="B76" s="333"/>
      <c r="C76" s="333"/>
      <c r="D76" s="333"/>
      <c r="E76" s="338"/>
      <c r="F76" s="338"/>
      <c r="G76" s="338"/>
      <c r="H76" s="338"/>
      <c r="I76" s="338"/>
    </row>
    <row r="77" spans="1:9" ht="24" customHeight="1" x14ac:dyDescent="0.6">
      <c r="A77" s="333"/>
      <c r="B77" s="333"/>
      <c r="C77" s="333"/>
      <c r="D77" s="333"/>
      <c r="E77" s="338"/>
      <c r="F77" s="338"/>
      <c r="G77" s="338"/>
      <c r="H77" s="338"/>
      <c r="I77" s="338"/>
    </row>
    <row r="78" spans="1:9" ht="24" customHeight="1" x14ac:dyDescent="0.6">
      <c r="A78" s="333"/>
      <c r="B78" s="333"/>
      <c r="C78" s="333"/>
      <c r="D78" s="333"/>
      <c r="E78" s="338"/>
      <c r="F78" s="338"/>
      <c r="G78" s="338"/>
      <c r="H78" s="338"/>
      <c r="I78" s="338"/>
    </row>
    <row r="79" spans="1:9" ht="24" customHeight="1" x14ac:dyDescent="0.6">
      <c r="A79" s="333"/>
      <c r="B79" s="333"/>
      <c r="C79" s="333"/>
      <c r="D79" s="333"/>
      <c r="E79" s="338"/>
      <c r="F79" s="338"/>
      <c r="G79" s="338"/>
      <c r="H79" s="338"/>
      <c r="I79" s="338"/>
    </row>
    <row r="80" spans="1:9" ht="24" customHeight="1" x14ac:dyDescent="0.6">
      <c r="A80" s="333"/>
      <c r="B80" s="333"/>
      <c r="C80" s="333"/>
      <c r="D80" s="333"/>
      <c r="E80" s="338"/>
      <c r="F80" s="338"/>
      <c r="G80" s="338"/>
      <c r="H80" s="338"/>
      <c r="I80" s="338"/>
    </row>
    <row r="81" spans="1:9" ht="24" customHeight="1" x14ac:dyDescent="0.6">
      <c r="A81" s="333"/>
      <c r="B81" s="333"/>
      <c r="C81" s="333"/>
      <c r="D81" s="333"/>
      <c r="E81" s="338"/>
      <c r="F81" s="338"/>
      <c r="G81" s="338"/>
      <c r="H81" s="338"/>
      <c r="I81" s="338"/>
    </row>
    <row r="82" spans="1:9" ht="24" customHeight="1" x14ac:dyDescent="0.6">
      <c r="A82" s="333"/>
      <c r="B82" s="333"/>
      <c r="C82" s="333"/>
      <c r="D82" s="333"/>
      <c r="E82" s="338"/>
      <c r="F82" s="338"/>
      <c r="G82" s="338"/>
      <c r="H82" s="338"/>
      <c r="I82" s="338"/>
    </row>
    <row r="83" spans="1:9" ht="24" customHeight="1" x14ac:dyDescent="0.6">
      <c r="A83" s="333"/>
      <c r="B83" s="333"/>
      <c r="C83" s="333"/>
      <c r="D83" s="333"/>
      <c r="E83" s="338"/>
      <c r="F83" s="338"/>
      <c r="G83" s="338"/>
      <c r="H83" s="338"/>
      <c r="I83" s="338"/>
    </row>
    <row r="84" spans="1:9" ht="24" customHeight="1" x14ac:dyDescent="0.6">
      <c r="A84" s="333"/>
      <c r="B84" s="333"/>
      <c r="C84" s="333"/>
      <c r="D84" s="333"/>
      <c r="E84" s="338"/>
      <c r="F84" s="338"/>
      <c r="G84" s="338"/>
      <c r="H84" s="338"/>
      <c r="I84" s="338"/>
    </row>
    <row r="85" spans="1:9" ht="24" customHeight="1" x14ac:dyDescent="0.6">
      <c r="A85" s="333"/>
      <c r="B85" s="333"/>
      <c r="C85" s="333"/>
      <c r="D85" s="333"/>
      <c r="E85" s="338"/>
      <c r="F85" s="338"/>
      <c r="G85" s="338"/>
      <c r="H85" s="338"/>
      <c r="I85" s="338"/>
    </row>
    <row r="86" spans="1:9" ht="24" customHeight="1" x14ac:dyDescent="0.6">
      <c r="A86" s="333"/>
      <c r="B86" s="333"/>
      <c r="C86" s="333"/>
      <c r="D86" s="333"/>
      <c r="E86" s="338"/>
      <c r="F86" s="338"/>
      <c r="G86" s="338"/>
      <c r="H86" s="338"/>
      <c r="I86" s="338"/>
    </row>
    <row r="87" spans="1:9" ht="24" customHeight="1" x14ac:dyDescent="0.6">
      <c r="A87" s="333"/>
      <c r="B87" s="333"/>
      <c r="C87" s="333"/>
      <c r="D87" s="333"/>
      <c r="E87" s="338"/>
      <c r="F87" s="338"/>
      <c r="G87" s="338"/>
      <c r="H87" s="338"/>
      <c r="I87" s="338"/>
    </row>
    <row r="88" spans="1:9" ht="24" customHeight="1" x14ac:dyDescent="0.6">
      <c r="A88" s="333"/>
      <c r="B88" s="333"/>
      <c r="C88" s="333"/>
      <c r="D88" s="333"/>
      <c r="E88" s="338"/>
      <c r="F88" s="338"/>
      <c r="G88" s="338"/>
      <c r="H88" s="338"/>
      <c r="I88" s="338"/>
    </row>
    <row r="89" spans="1:9" ht="24" customHeight="1" x14ac:dyDescent="0.6">
      <c r="A89" s="333"/>
      <c r="B89" s="333"/>
      <c r="C89" s="333"/>
      <c r="D89" s="333"/>
      <c r="E89" s="338"/>
      <c r="F89" s="338"/>
      <c r="G89" s="338"/>
      <c r="H89" s="338"/>
      <c r="I89" s="338"/>
    </row>
    <row r="90" spans="1:9" ht="24" customHeight="1" x14ac:dyDescent="0.6">
      <c r="A90" s="333"/>
      <c r="B90" s="333"/>
      <c r="C90" s="333"/>
      <c r="D90" s="333"/>
      <c r="E90" s="338"/>
      <c r="F90" s="338"/>
      <c r="G90" s="338"/>
      <c r="H90" s="338"/>
      <c r="I90" s="338"/>
    </row>
    <row r="91" spans="1:9" ht="24" customHeight="1" x14ac:dyDescent="0.6">
      <c r="A91" s="333"/>
      <c r="B91" s="333"/>
      <c r="C91" s="333"/>
      <c r="D91" s="333"/>
      <c r="E91" s="338"/>
      <c r="F91" s="338"/>
      <c r="G91" s="338"/>
      <c r="H91" s="338"/>
      <c r="I91" s="338"/>
    </row>
    <row r="92" spans="1:9" ht="24" customHeight="1" x14ac:dyDescent="0.6">
      <c r="A92" s="333"/>
      <c r="B92" s="333"/>
      <c r="C92" s="333"/>
      <c r="D92" s="333"/>
      <c r="E92" s="338"/>
      <c r="F92" s="338"/>
      <c r="G92" s="338"/>
      <c r="H92" s="338"/>
      <c r="I92" s="338"/>
    </row>
    <row r="93" spans="1:9" ht="24" customHeight="1" x14ac:dyDescent="0.6">
      <c r="A93" s="333"/>
      <c r="B93" s="333"/>
      <c r="C93" s="333"/>
      <c r="D93" s="333"/>
      <c r="E93" s="338"/>
      <c r="F93" s="338"/>
      <c r="G93" s="338"/>
      <c r="H93" s="338"/>
      <c r="I93" s="338"/>
    </row>
    <row r="94" spans="1:9" ht="24" customHeight="1" x14ac:dyDescent="0.6">
      <c r="A94" s="333"/>
      <c r="B94" s="333"/>
      <c r="C94" s="333"/>
      <c r="D94" s="333"/>
      <c r="E94" s="338"/>
      <c r="F94" s="338"/>
      <c r="G94" s="338"/>
      <c r="H94" s="338"/>
      <c r="I94" s="338"/>
    </row>
    <row r="95" spans="1:9" ht="24" customHeight="1" x14ac:dyDescent="0.6">
      <c r="A95" s="333"/>
      <c r="B95" s="333"/>
      <c r="C95" s="333"/>
      <c r="D95" s="333"/>
      <c r="E95" s="338"/>
      <c r="F95" s="338"/>
      <c r="G95" s="338"/>
      <c r="H95" s="338"/>
      <c r="I95" s="338"/>
    </row>
    <row r="96" spans="1:9" ht="24" customHeight="1" x14ac:dyDescent="0.6">
      <c r="A96" s="333"/>
      <c r="B96" s="333"/>
      <c r="C96" s="333"/>
      <c r="D96" s="333"/>
      <c r="E96" s="338"/>
      <c r="F96" s="338"/>
      <c r="G96" s="338"/>
      <c r="H96" s="338"/>
      <c r="I96" s="338"/>
    </row>
    <row r="97" spans="1:10" ht="24" customHeight="1" x14ac:dyDescent="0.6">
      <c r="A97" s="333"/>
      <c r="B97" s="333"/>
      <c r="C97" s="333"/>
      <c r="D97" s="333"/>
      <c r="E97" s="338"/>
      <c r="F97" s="338"/>
      <c r="G97" s="338"/>
      <c r="H97" s="338"/>
      <c r="I97" s="338"/>
    </row>
    <row r="98" spans="1:10" ht="24" customHeight="1" x14ac:dyDescent="0.6">
      <c r="A98" s="333"/>
      <c r="B98" s="333"/>
      <c r="C98" s="333"/>
      <c r="D98" s="333"/>
      <c r="E98" s="338"/>
      <c r="F98" s="338"/>
      <c r="G98" s="338"/>
      <c r="H98" s="338"/>
      <c r="I98" s="338"/>
    </row>
    <row r="99" spans="1:10" ht="24" customHeight="1" x14ac:dyDescent="0.6">
      <c r="A99" s="333"/>
      <c r="B99" s="333"/>
      <c r="C99" s="333"/>
      <c r="D99" s="333"/>
      <c r="E99" s="338"/>
      <c r="F99" s="338"/>
      <c r="G99" s="338"/>
      <c r="H99" s="338"/>
      <c r="I99" s="338"/>
    </row>
    <row r="100" spans="1:10" ht="24" customHeight="1" x14ac:dyDescent="0.6">
      <c r="A100" s="333"/>
      <c r="B100" s="333"/>
      <c r="C100" s="333"/>
      <c r="D100" s="333"/>
      <c r="E100" s="338"/>
      <c r="F100" s="338"/>
      <c r="G100" s="338"/>
      <c r="H100" s="338"/>
      <c r="I100" s="338"/>
    </row>
    <row r="101" spans="1:10" ht="24" customHeight="1" x14ac:dyDescent="0.6">
      <c r="A101" s="333"/>
      <c r="B101" s="333"/>
      <c r="C101" s="333"/>
      <c r="D101" s="333"/>
      <c r="E101" s="338"/>
      <c r="F101" s="338"/>
      <c r="G101" s="338"/>
      <c r="H101" s="338"/>
      <c r="I101" s="338"/>
    </row>
    <row r="102" spans="1:10" ht="24" customHeight="1" x14ac:dyDescent="0.6">
      <c r="A102" s="333"/>
      <c r="B102" s="333"/>
      <c r="C102" s="333"/>
      <c r="D102" s="333"/>
      <c r="E102" s="338"/>
      <c r="F102" s="338"/>
      <c r="G102" s="338"/>
      <c r="H102" s="338"/>
      <c r="I102" s="338"/>
    </row>
    <row r="103" spans="1:10" ht="24" customHeight="1" x14ac:dyDescent="0.6">
      <c r="A103" s="333"/>
      <c r="B103" s="333"/>
      <c r="C103" s="333"/>
      <c r="D103" s="333"/>
      <c r="E103" s="338"/>
      <c r="F103" s="338"/>
      <c r="G103" s="338"/>
      <c r="H103" s="338"/>
      <c r="I103" s="338"/>
    </row>
    <row r="104" spans="1:10" ht="24" customHeight="1" x14ac:dyDescent="0.6">
      <c r="A104" s="333"/>
      <c r="B104" s="333"/>
      <c r="C104" s="333"/>
      <c r="D104" s="333"/>
      <c r="E104" s="338"/>
      <c r="F104" s="338"/>
      <c r="G104" s="338"/>
      <c r="H104" s="338"/>
      <c r="I104" s="338"/>
    </row>
    <row r="105" spans="1:10" ht="24" customHeight="1" x14ac:dyDescent="0.6">
      <c r="A105" s="333"/>
      <c r="B105" s="333"/>
      <c r="C105" s="333"/>
      <c r="D105" s="333"/>
      <c r="E105" s="338"/>
      <c r="F105" s="338"/>
      <c r="G105" s="338"/>
      <c r="H105" s="338"/>
      <c r="I105" s="338"/>
    </row>
    <row r="106" spans="1:10" ht="24" customHeight="1" x14ac:dyDescent="0.6">
      <c r="A106" s="333"/>
      <c r="B106" s="333"/>
      <c r="C106" s="333"/>
      <c r="D106" s="333"/>
      <c r="E106" s="338"/>
      <c r="F106" s="338"/>
      <c r="G106" s="338"/>
      <c r="H106" s="338"/>
      <c r="I106" s="338"/>
    </row>
    <row r="107" spans="1:10" ht="24" customHeight="1" x14ac:dyDescent="0.6">
      <c r="A107" s="333"/>
      <c r="B107" s="333"/>
      <c r="C107" s="333"/>
      <c r="D107" s="333"/>
      <c r="E107" s="338"/>
      <c r="F107" s="338"/>
      <c r="G107" s="338"/>
      <c r="H107" s="338"/>
      <c r="I107" s="338"/>
    </row>
    <row r="108" spans="1:10" ht="24" customHeight="1" x14ac:dyDescent="0.6">
      <c r="A108" s="333"/>
      <c r="B108" s="333"/>
      <c r="C108" s="333"/>
      <c r="D108" s="333"/>
      <c r="E108" s="338"/>
      <c r="F108" s="338"/>
      <c r="G108" s="338"/>
      <c r="H108" s="338"/>
      <c r="I108" s="338"/>
    </row>
    <row r="109" spans="1:10" x14ac:dyDescent="0.6">
      <c r="C109" s="19"/>
      <c r="D109" s="19"/>
      <c r="E109" s="331"/>
      <c r="F109" s="332"/>
      <c r="G109" s="332"/>
      <c r="I109" s="19"/>
    </row>
    <row r="110" spans="1:10" x14ac:dyDescent="0.6">
      <c r="C110" s="19"/>
      <c r="D110" s="19" t="e">
        <f>+#REF!*2</f>
        <v>#REF!</v>
      </c>
      <c r="E110" s="334" t="e">
        <f>+D110+1300000</f>
        <v>#REF!</v>
      </c>
      <c r="F110" s="332"/>
      <c r="G110" s="332"/>
      <c r="I110" s="19"/>
      <c r="J110" s="273" t="e">
        <f>+#REF!*192</f>
        <v>#REF!</v>
      </c>
    </row>
    <row r="111" spans="1:10" x14ac:dyDescent="0.6">
      <c r="C111" s="19"/>
      <c r="D111" s="19">
        <v>2500000</v>
      </c>
      <c r="E111" s="331"/>
      <c r="F111" s="332"/>
      <c r="G111" s="332"/>
      <c r="I111" s="19"/>
    </row>
    <row r="112" spans="1:10" x14ac:dyDescent="0.6">
      <c r="C112" s="19"/>
      <c r="D112" s="19"/>
      <c r="E112" s="331"/>
      <c r="F112" s="332"/>
      <c r="G112" s="332"/>
      <c r="I112" s="19"/>
    </row>
    <row r="113" spans="1:9" x14ac:dyDescent="0.6">
      <c r="A113" s="330" t="s">
        <v>301</v>
      </c>
      <c r="B113" s="132" t="s">
        <v>302</v>
      </c>
      <c r="C113" s="19"/>
      <c r="D113" s="19"/>
      <c r="E113" s="334">
        <v>90000</v>
      </c>
      <c r="F113" s="332"/>
      <c r="G113" s="332">
        <f t="shared" ref="G113:G160" si="10">D7-E113</f>
        <v>-90000</v>
      </c>
      <c r="I113" s="19"/>
    </row>
    <row r="114" spans="1:9" x14ac:dyDescent="0.6">
      <c r="A114" s="330">
        <v>1</v>
      </c>
      <c r="B114" s="132" t="s">
        <v>304</v>
      </c>
      <c r="C114" s="335"/>
      <c r="D114" s="19">
        <v>26411307</v>
      </c>
      <c r="E114" s="334">
        <v>25961307</v>
      </c>
      <c r="F114" s="332"/>
      <c r="G114" s="332">
        <f t="shared" si="10"/>
        <v>-1961307</v>
      </c>
      <c r="I114" s="19"/>
    </row>
    <row r="115" spans="1:9" x14ac:dyDescent="0.6">
      <c r="A115" s="330">
        <v>2</v>
      </c>
      <c r="B115" s="132" t="s">
        <v>305</v>
      </c>
      <c r="C115" s="335"/>
      <c r="D115" s="19">
        <v>22713724.02</v>
      </c>
      <c r="E115" s="334">
        <v>22313724.02</v>
      </c>
      <c r="F115" s="332"/>
      <c r="G115" s="332">
        <f t="shared" si="10"/>
        <v>-1673724.0199999996</v>
      </c>
      <c r="I115" s="19"/>
    </row>
    <row r="116" spans="1:9" x14ac:dyDescent="0.6">
      <c r="A116" s="330">
        <v>3</v>
      </c>
      <c r="B116" s="132" t="s">
        <v>306</v>
      </c>
      <c r="C116" s="335"/>
      <c r="D116" s="19">
        <v>15318558.059999999</v>
      </c>
      <c r="E116" s="334">
        <v>14938558.060000001</v>
      </c>
      <c r="F116" s="332"/>
      <c r="G116" s="332">
        <f t="shared" si="10"/>
        <v>-1018558.0600000024</v>
      </c>
      <c r="I116" s="19"/>
    </row>
    <row r="117" spans="1:9" x14ac:dyDescent="0.6">
      <c r="A117" s="330">
        <v>4</v>
      </c>
      <c r="B117" s="132" t="s">
        <v>307</v>
      </c>
      <c r="C117" s="335"/>
      <c r="D117" s="19">
        <v>13205653.5</v>
      </c>
      <c r="E117" s="334">
        <v>12855653.5</v>
      </c>
      <c r="F117" s="332"/>
      <c r="G117" s="332">
        <f t="shared" si="10"/>
        <v>-855653.5</v>
      </c>
      <c r="I117" s="19"/>
    </row>
    <row r="118" spans="1:9" x14ac:dyDescent="0.6">
      <c r="A118" s="330">
        <v>5</v>
      </c>
      <c r="B118" s="132" t="s">
        <v>308</v>
      </c>
      <c r="C118" s="335"/>
      <c r="D118" s="19">
        <v>11885088.15</v>
      </c>
      <c r="E118" s="334">
        <v>11685088.15</v>
      </c>
      <c r="F118" s="332"/>
      <c r="G118" s="332">
        <f t="shared" si="10"/>
        <v>-885088.15000000037</v>
      </c>
      <c r="I118" s="19"/>
    </row>
    <row r="119" spans="1:9" x14ac:dyDescent="0.6">
      <c r="A119" s="330">
        <v>6</v>
      </c>
      <c r="B119" s="132" t="s">
        <v>309</v>
      </c>
      <c r="C119" s="335"/>
      <c r="D119" s="19">
        <v>10564522.800000001</v>
      </c>
      <c r="E119" s="334">
        <v>10414522.800000001</v>
      </c>
      <c r="F119" s="332"/>
      <c r="G119" s="332">
        <f t="shared" si="10"/>
        <v>-814522.80000000075</v>
      </c>
      <c r="I119" s="19"/>
    </row>
    <row r="120" spans="1:9" x14ac:dyDescent="0.6">
      <c r="A120" s="330">
        <v>7</v>
      </c>
      <c r="B120" s="132" t="s">
        <v>310</v>
      </c>
      <c r="C120" s="19"/>
      <c r="D120" s="19">
        <v>6180245.8380000005</v>
      </c>
      <c r="E120" s="334">
        <v>6270245.8380000005</v>
      </c>
      <c r="F120" s="332"/>
      <c r="G120" s="332">
        <f t="shared" si="10"/>
        <v>-654245.83800000045</v>
      </c>
      <c r="I120" s="19"/>
    </row>
    <row r="121" spans="1:9" x14ac:dyDescent="0.6">
      <c r="A121" s="330">
        <v>8</v>
      </c>
      <c r="B121" s="132" t="s">
        <v>312</v>
      </c>
      <c r="C121" s="19" t="s">
        <v>313</v>
      </c>
      <c r="D121" s="19">
        <v>5562221.2542000003</v>
      </c>
      <c r="E121" s="334">
        <v>5652221.2542000003</v>
      </c>
      <c r="F121" s="332"/>
      <c r="G121" s="332">
        <f t="shared" si="10"/>
        <v>-597821.25420000032</v>
      </c>
      <c r="I121" s="19"/>
    </row>
    <row r="122" spans="1:9" x14ac:dyDescent="0.6">
      <c r="A122" s="330">
        <v>9</v>
      </c>
      <c r="B122" s="132" t="s">
        <v>314</v>
      </c>
      <c r="C122" s="19" t="s">
        <v>315</v>
      </c>
      <c r="D122" s="19">
        <v>4944196.6704000002</v>
      </c>
      <c r="E122" s="334">
        <v>5034196.6704000002</v>
      </c>
      <c r="F122" s="332"/>
      <c r="G122" s="332">
        <f t="shared" si="10"/>
        <v>-541396.67040000018</v>
      </c>
      <c r="I122" s="19"/>
    </row>
    <row r="123" spans="1:9" x14ac:dyDescent="0.6">
      <c r="A123" s="330">
        <v>10</v>
      </c>
      <c r="B123" s="132" t="s">
        <v>57</v>
      </c>
      <c r="C123" s="19"/>
      <c r="D123" s="19">
        <v>4326172.0866</v>
      </c>
      <c r="E123" s="334">
        <v>4416172.0866</v>
      </c>
      <c r="F123" s="332"/>
      <c r="G123" s="332">
        <f t="shared" si="10"/>
        <v>-484972.0866000005</v>
      </c>
      <c r="I123" s="19"/>
    </row>
    <row r="124" spans="1:9" x14ac:dyDescent="0.6">
      <c r="A124" s="330">
        <v>11</v>
      </c>
      <c r="B124" s="132" t="s">
        <v>316</v>
      </c>
      <c r="C124" s="19"/>
      <c r="D124" s="19">
        <v>4017159.7947000004</v>
      </c>
      <c r="E124" s="334">
        <v>4107159.7947</v>
      </c>
      <c r="F124" s="332"/>
      <c r="G124" s="332">
        <f t="shared" si="10"/>
        <v>-456759.79469999997</v>
      </c>
      <c r="I124" s="19"/>
    </row>
    <row r="125" spans="1:9" x14ac:dyDescent="0.6">
      <c r="A125" s="330">
        <v>12</v>
      </c>
      <c r="B125" s="132" t="s">
        <v>59</v>
      </c>
      <c r="C125" s="19" t="s">
        <v>317</v>
      </c>
      <c r="D125" s="19">
        <v>3708147.5028000004</v>
      </c>
      <c r="E125" s="334">
        <v>3798147.5027999999</v>
      </c>
      <c r="F125" s="332"/>
      <c r="G125" s="332">
        <f t="shared" si="10"/>
        <v>-428547.5027999999</v>
      </c>
      <c r="I125" s="19"/>
    </row>
    <row r="126" spans="1:9" x14ac:dyDescent="0.6">
      <c r="A126" s="330">
        <v>13</v>
      </c>
      <c r="B126" s="132" t="s">
        <v>318</v>
      </c>
      <c r="C126" s="19"/>
      <c r="D126" s="19">
        <v>3090122.9190000002</v>
      </c>
      <c r="E126" s="334">
        <v>3180122.9190000002</v>
      </c>
      <c r="F126" s="332"/>
      <c r="G126" s="332">
        <f t="shared" si="10"/>
        <v>-372122.91900000023</v>
      </c>
      <c r="I126" s="19"/>
    </row>
    <row r="127" spans="1:9" x14ac:dyDescent="0.6">
      <c r="A127" s="330">
        <v>14</v>
      </c>
      <c r="B127" s="132" t="s">
        <v>319</v>
      </c>
      <c r="C127" s="19"/>
      <c r="D127" s="19">
        <v>2781110.6271000002</v>
      </c>
      <c r="E127" s="334">
        <v>2871110.6271000002</v>
      </c>
      <c r="F127" s="332"/>
      <c r="G127" s="332">
        <f t="shared" si="10"/>
        <v>-343910.62710000016</v>
      </c>
      <c r="I127" s="19"/>
    </row>
    <row r="128" spans="1:9" x14ac:dyDescent="0.6">
      <c r="A128" s="330">
        <v>15</v>
      </c>
      <c r="B128" s="132" t="s">
        <v>320</v>
      </c>
      <c r="C128" s="19"/>
      <c r="D128" s="19">
        <v>1854073.7514000002</v>
      </c>
      <c r="E128" s="334">
        <v>1944073.7514</v>
      </c>
      <c r="F128" s="332"/>
      <c r="G128" s="332">
        <f t="shared" si="10"/>
        <v>-259273.75139999995</v>
      </c>
      <c r="I128" s="19"/>
    </row>
    <row r="129" spans="1:9" x14ac:dyDescent="0.6">
      <c r="B129" s="132" t="s">
        <v>321</v>
      </c>
      <c r="C129" s="335"/>
      <c r="D129" s="19"/>
      <c r="E129" s="334">
        <v>90000</v>
      </c>
      <c r="F129" s="332"/>
      <c r="G129" s="332">
        <f t="shared" si="10"/>
        <v>-90000</v>
      </c>
      <c r="I129" s="19"/>
    </row>
    <row r="130" spans="1:9" x14ac:dyDescent="0.6">
      <c r="A130" s="330">
        <v>1</v>
      </c>
      <c r="B130" s="132" t="s">
        <v>322</v>
      </c>
      <c r="C130" s="19"/>
      <c r="D130" s="19">
        <v>25090741.649999999</v>
      </c>
      <c r="E130" s="334">
        <v>24790741.649999999</v>
      </c>
      <c r="F130" s="332"/>
      <c r="G130" s="332">
        <f t="shared" si="10"/>
        <v>-24790741.649999999</v>
      </c>
      <c r="I130" s="19"/>
    </row>
    <row r="131" spans="1:9" x14ac:dyDescent="0.6">
      <c r="A131" s="330">
        <v>2</v>
      </c>
      <c r="B131" s="132" t="s">
        <v>324</v>
      </c>
      <c r="C131" s="19"/>
      <c r="D131" s="19">
        <v>21578037.818999998</v>
      </c>
      <c r="E131" s="334">
        <v>21328037.818999998</v>
      </c>
      <c r="F131" s="332"/>
      <c r="G131" s="332">
        <f t="shared" si="10"/>
        <v>-21328037.818999998</v>
      </c>
      <c r="I131" s="19"/>
    </row>
    <row r="132" spans="1:9" x14ac:dyDescent="0.6">
      <c r="A132" s="330">
        <v>3</v>
      </c>
      <c r="B132" s="132" t="s">
        <v>325</v>
      </c>
      <c r="C132" s="19"/>
      <c r="D132" s="19">
        <v>14552630.156999998</v>
      </c>
      <c r="E132" s="334">
        <v>14352630.157</v>
      </c>
      <c r="F132" s="332"/>
      <c r="G132" s="332">
        <f t="shared" si="10"/>
        <v>-14352630.157</v>
      </c>
      <c r="I132" s="19"/>
    </row>
    <row r="133" spans="1:9" x14ac:dyDescent="0.6">
      <c r="A133" s="330">
        <v>4</v>
      </c>
      <c r="B133" s="132" t="s">
        <v>326</v>
      </c>
      <c r="C133" s="19"/>
      <c r="D133" s="19">
        <v>12545370.824999999</v>
      </c>
      <c r="E133" s="334">
        <v>12395370.824999999</v>
      </c>
      <c r="F133" s="332"/>
      <c r="G133" s="332">
        <f t="shared" si="10"/>
        <v>-12395370.824999999</v>
      </c>
      <c r="I133" s="19"/>
    </row>
    <row r="134" spans="1:9" x14ac:dyDescent="0.6">
      <c r="A134" s="330">
        <v>5</v>
      </c>
      <c r="B134" s="132" t="s">
        <v>327</v>
      </c>
      <c r="C134" s="19"/>
      <c r="D134" s="19">
        <v>11290833.7425</v>
      </c>
      <c r="E134" s="334">
        <v>11190833.7425</v>
      </c>
      <c r="F134" s="332"/>
      <c r="G134" s="332">
        <f t="shared" si="10"/>
        <v>-11190833.7425</v>
      </c>
      <c r="I134" s="19"/>
    </row>
    <row r="135" spans="1:9" x14ac:dyDescent="0.6">
      <c r="A135" s="330">
        <v>6</v>
      </c>
      <c r="B135" s="132" t="s">
        <v>328</v>
      </c>
      <c r="C135" s="19"/>
      <c r="D135" s="19">
        <v>10036296.66</v>
      </c>
      <c r="E135" s="334">
        <v>9986296.6600000001</v>
      </c>
      <c r="F135" s="332"/>
      <c r="G135" s="332">
        <f t="shared" si="10"/>
        <v>-9986296.6600000001</v>
      </c>
      <c r="I135" s="19"/>
    </row>
    <row r="136" spans="1:9" x14ac:dyDescent="0.6">
      <c r="A136" s="330">
        <v>7</v>
      </c>
      <c r="B136" s="132" t="s">
        <v>329</v>
      </c>
      <c r="C136" s="19"/>
      <c r="D136" s="19">
        <v>5871233.5460999999</v>
      </c>
      <c r="E136" s="334">
        <v>5961233.5460999999</v>
      </c>
      <c r="F136" s="332"/>
      <c r="G136" s="332">
        <f t="shared" si="10"/>
        <v>-5961233.5460999999</v>
      </c>
      <c r="I136" s="19"/>
    </row>
    <row r="137" spans="1:9" x14ac:dyDescent="0.6">
      <c r="A137" s="330">
        <v>8</v>
      </c>
      <c r="B137" s="132" t="s">
        <v>331</v>
      </c>
      <c r="C137" s="19" t="s">
        <v>332</v>
      </c>
      <c r="D137" s="19">
        <v>5284110.1914900001</v>
      </c>
      <c r="E137" s="334">
        <v>5374110.1914900001</v>
      </c>
      <c r="F137" s="332"/>
      <c r="G137" s="332">
        <f t="shared" si="10"/>
        <v>-5374110.1914900001</v>
      </c>
      <c r="I137" s="19"/>
    </row>
    <row r="138" spans="1:9" x14ac:dyDescent="0.6">
      <c r="A138" s="330">
        <v>9</v>
      </c>
      <c r="B138" s="132" t="s">
        <v>333</v>
      </c>
      <c r="C138" s="19" t="s">
        <v>315</v>
      </c>
      <c r="D138" s="19">
        <v>4696986.8368800003</v>
      </c>
      <c r="E138" s="334">
        <v>4786986.8368800003</v>
      </c>
      <c r="F138" s="332"/>
      <c r="G138" s="332">
        <f t="shared" si="10"/>
        <v>-4786986.8368800003</v>
      </c>
      <c r="I138" s="19"/>
    </row>
    <row r="139" spans="1:9" x14ac:dyDescent="0.6">
      <c r="A139" s="330">
        <v>10</v>
      </c>
      <c r="B139" s="132" t="s">
        <v>58</v>
      </c>
      <c r="C139" s="19"/>
      <c r="D139" s="19">
        <v>4109863.4822699996</v>
      </c>
      <c r="E139" s="334">
        <v>4199863.4822700005</v>
      </c>
      <c r="F139" s="332"/>
      <c r="G139" s="332">
        <f t="shared" si="10"/>
        <v>-4199863.4822700005</v>
      </c>
      <c r="I139" s="19"/>
    </row>
    <row r="140" spans="1:9" x14ac:dyDescent="0.6">
      <c r="A140" s="330">
        <v>11</v>
      </c>
      <c r="B140" s="132" t="s">
        <v>334</v>
      </c>
      <c r="C140" s="19"/>
      <c r="D140" s="19">
        <v>3816301.8049650001</v>
      </c>
      <c r="E140" s="334">
        <v>3906301.8049650001</v>
      </c>
      <c r="F140" s="332"/>
      <c r="G140" s="332">
        <f t="shared" si="10"/>
        <v>-3906301.8049650001</v>
      </c>
      <c r="I140" s="19"/>
    </row>
    <row r="141" spans="1:9" x14ac:dyDescent="0.6">
      <c r="A141" s="330">
        <v>12</v>
      </c>
      <c r="B141" s="132" t="s">
        <v>335</v>
      </c>
      <c r="C141" s="19" t="s">
        <v>317</v>
      </c>
      <c r="D141" s="19">
        <v>3522740.1276599998</v>
      </c>
      <c r="E141" s="334">
        <v>3612740.1276600002</v>
      </c>
      <c r="F141" s="332"/>
      <c r="G141" s="332">
        <f t="shared" si="10"/>
        <v>-3612740.1276600002</v>
      </c>
      <c r="I141" s="19"/>
    </row>
    <row r="142" spans="1:9" x14ac:dyDescent="0.6">
      <c r="A142" s="330">
        <v>13</v>
      </c>
      <c r="B142" s="132" t="s">
        <v>336</v>
      </c>
      <c r="C142" s="19"/>
      <c r="D142" s="19">
        <v>2935616.77305</v>
      </c>
      <c r="E142" s="334">
        <v>3025616.77305</v>
      </c>
      <c r="F142" s="332"/>
      <c r="G142" s="332">
        <f t="shared" si="10"/>
        <v>-3025616.77305</v>
      </c>
      <c r="I142" s="19"/>
    </row>
    <row r="143" spans="1:9" x14ac:dyDescent="0.6">
      <c r="A143" s="330">
        <v>14</v>
      </c>
      <c r="B143" s="132" t="s">
        <v>337</v>
      </c>
      <c r="C143" s="19"/>
      <c r="D143" s="19">
        <v>2642055.0957450001</v>
      </c>
      <c r="E143" s="334">
        <v>2732055.0957450001</v>
      </c>
      <c r="F143" s="332"/>
      <c r="G143" s="332">
        <f t="shared" si="10"/>
        <v>-2732055.0957450001</v>
      </c>
      <c r="I143" s="19"/>
    </row>
    <row r="144" spans="1:9" x14ac:dyDescent="0.6">
      <c r="A144" s="330">
        <v>15</v>
      </c>
      <c r="B144" s="132" t="s">
        <v>338</v>
      </c>
      <c r="C144" s="19"/>
      <c r="D144" s="19">
        <v>1761370.0638299999</v>
      </c>
      <c r="E144" s="334">
        <v>1851370.0638300001</v>
      </c>
      <c r="F144" s="332"/>
      <c r="G144" s="332">
        <f t="shared" si="10"/>
        <v>-1851370.0638300001</v>
      </c>
      <c r="I144" s="19"/>
    </row>
    <row r="145" spans="1:9" x14ac:dyDescent="0.6">
      <c r="B145" s="132" t="s">
        <v>339</v>
      </c>
      <c r="C145" s="19"/>
      <c r="D145" s="19"/>
      <c r="E145" s="334">
        <v>90000</v>
      </c>
      <c r="F145" s="332"/>
      <c r="G145" s="332">
        <f t="shared" si="10"/>
        <v>-90000</v>
      </c>
      <c r="I145" s="19"/>
    </row>
    <row r="146" spans="1:9" x14ac:dyDescent="0.6">
      <c r="A146" s="330">
        <v>1</v>
      </c>
      <c r="B146" s="132" t="s">
        <v>340</v>
      </c>
      <c r="C146" s="19"/>
      <c r="D146" s="19">
        <v>20072593.32</v>
      </c>
      <c r="E146" s="334">
        <v>19772593.32</v>
      </c>
      <c r="F146" s="332"/>
      <c r="G146" s="332">
        <f t="shared" si="10"/>
        <v>-19772593.32</v>
      </c>
      <c r="I146" s="19"/>
    </row>
    <row r="147" spans="1:9" x14ac:dyDescent="0.6">
      <c r="A147" s="330">
        <v>2</v>
      </c>
      <c r="B147" s="132" t="s">
        <v>342</v>
      </c>
      <c r="C147" s="19"/>
      <c r="D147" s="19">
        <v>17262430.255199999</v>
      </c>
      <c r="E147" s="334">
        <v>17012430.255199999</v>
      </c>
      <c r="F147" s="332"/>
      <c r="G147" s="332">
        <f t="shared" si="10"/>
        <v>-17012430.255199999</v>
      </c>
      <c r="I147" s="19"/>
    </row>
    <row r="148" spans="1:9" x14ac:dyDescent="0.6">
      <c r="A148" s="330">
        <v>3</v>
      </c>
      <c r="B148" s="132" t="s">
        <v>343</v>
      </c>
      <c r="C148" s="19"/>
      <c r="D148" s="19">
        <v>11642104.125599999</v>
      </c>
      <c r="E148" s="334">
        <v>11442104.125600001</v>
      </c>
      <c r="F148" s="332"/>
      <c r="G148" s="332">
        <f t="shared" si="10"/>
        <v>-11442104.125600001</v>
      </c>
      <c r="I148" s="19"/>
    </row>
    <row r="149" spans="1:9" x14ac:dyDescent="0.6">
      <c r="A149" s="330">
        <v>4</v>
      </c>
      <c r="B149" s="132" t="s">
        <v>344</v>
      </c>
      <c r="C149" s="19"/>
      <c r="D149" s="19">
        <v>10036296.66</v>
      </c>
      <c r="E149" s="334">
        <v>9886296.6600000001</v>
      </c>
      <c r="F149" s="332"/>
      <c r="G149" s="332">
        <f t="shared" si="10"/>
        <v>-9886296.6600000001</v>
      </c>
      <c r="I149" s="19"/>
    </row>
    <row r="150" spans="1:9" x14ac:dyDescent="0.6">
      <c r="A150" s="330">
        <v>5</v>
      </c>
      <c r="B150" s="132" t="s">
        <v>345</v>
      </c>
      <c r="C150" s="19"/>
      <c r="D150" s="19">
        <v>9032666.9940000009</v>
      </c>
      <c r="E150" s="334">
        <v>8932666.9940000009</v>
      </c>
      <c r="F150" s="332"/>
      <c r="G150" s="332">
        <f t="shared" si="10"/>
        <v>-8932666.9940000009</v>
      </c>
      <c r="I150" s="19"/>
    </row>
    <row r="151" spans="1:9" x14ac:dyDescent="0.6">
      <c r="A151" s="330">
        <v>6</v>
      </c>
      <c r="B151" s="132" t="s">
        <v>346</v>
      </c>
      <c r="C151" s="19"/>
      <c r="D151" s="19">
        <v>8029037.3280000007</v>
      </c>
      <c r="E151" s="334">
        <v>7979037.3279999997</v>
      </c>
      <c r="F151" s="332"/>
      <c r="G151" s="332">
        <f t="shared" si="10"/>
        <v>-7979037.3279999997</v>
      </c>
      <c r="I151" s="19"/>
    </row>
    <row r="152" spans="1:9" x14ac:dyDescent="0.6">
      <c r="A152" s="330">
        <v>7</v>
      </c>
      <c r="B152" s="132" t="s">
        <v>347</v>
      </c>
      <c r="C152" s="19"/>
      <c r="D152" s="19">
        <v>4696986.8368800003</v>
      </c>
      <c r="E152" s="334">
        <v>4786986.8368800003</v>
      </c>
      <c r="F152" s="332"/>
      <c r="G152" s="332">
        <f t="shared" si="10"/>
        <v>-4786986.8368800003</v>
      </c>
      <c r="I152" s="19"/>
    </row>
    <row r="153" spans="1:9" x14ac:dyDescent="0.6">
      <c r="A153" s="330">
        <v>8</v>
      </c>
      <c r="B153" s="132" t="s">
        <v>349</v>
      </c>
      <c r="C153" s="19" t="s">
        <v>332</v>
      </c>
      <c r="D153" s="19">
        <v>4227288.1531920005</v>
      </c>
      <c r="E153" s="334">
        <v>4317288.1531920005</v>
      </c>
      <c r="F153" s="332"/>
      <c r="G153" s="332">
        <f t="shared" si="10"/>
        <v>-4317288.1531920005</v>
      </c>
      <c r="I153" s="19"/>
    </row>
    <row r="154" spans="1:9" x14ac:dyDescent="0.6">
      <c r="A154" s="330">
        <v>9</v>
      </c>
      <c r="B154" s="132" t="s">
        <v>350</v>
      </c>
      <c r="C154" s="19" t="s">
        <v>315</v>
      </c>
      <c r="D154" s="19">
        <v>3757589.4695040006</v>
      </c>
      <c r="E154" s="334">
        <v>3847589.4695040002</v>
      </c>
      <c r="F154" s="332"/>
      <c r="G154" s="332">
        <f t="shared" si="10"/>
        <v>-3847589.4695040002</v>
      </c>
      <c r="I154" s="19"/>
    </row>
    <row r="155" spans="1:9" x14ac:dyDescent="0.6">
      <c r="A155" s="330">
        <v>10</v>
      </c>
      <c r="B155" s="132" t="s">
        <v>351</v>
      </c>
      <c r="C155" s="19"/>
      <c r="D155" s="19">
        <v>3287890.7858159998</v>
      </c>
      <c r="E155" s="334">
        <v>3377890.7858159998</v>
      </c>
      <c r="F155" s="332"/>
      <c r="G155" s="332">
        <f t="shared" si="10"/>
        <v>-3377890.7858159998</v>
      </c>
      <c r="I155" s="19"/>
    </row>
    <row r="156" spans="1:9" x14ac:dyDescent="0.6">
      <c r="A156" s="330">
        <v>11</v>
      </c>
      <c r="B156" s="132" t="s">
        <v>352</v>
      </c>
      <c r="C156" s="19"/>
      <c r="D156" s="19">
        <v>3053041.4439720004</v>
      </c>
      <c r="E156" s="334">
        <v>3143041.4439719999</v>
      </c>
      <c r="F156" s="332"/>
      <c r="G156" s="332">
        <f t="shared" si="10"/>
        <v>-3143041.4439719999</v>
      </c>
      <c r="I156" s="19"/>
    </row>
    <row r="157" spans="1:9" x14ac:dyDescent="0.6">
      <c r="A157" s="330">
        <v>12</v>
      </c>
      <c r="B157" s="132" t="s">
        <v>353</v>
      </c>
      <c r="C157" s="19" t="s">
        <v>317</v>
      </c>
      <c r="D157" s="19">
        <v>2818192.102128</v>
      </c>
      <c r="E157" s="334">
        <v>2908192.102128</v>
      </c>
      <c r="F157" s="332"/>
      <c r="G157" s="332">
        <f t="shared" si="10"/>
        <v>-2908192.102128</v>
      </c>
      <c r="I157" s="19"/>
    </row>
    <row r="158" spans="1:9" x14ac:dyDescent="0.6">
      <c r="A158" s="330">
        <v>13</v>
      </c>
      <c r="B158" s="132" t="s">
        <v>354</v>
      </c>
      <c r="C158" s="19"/>
      <c r="D158" s="19">
        <v>2348493.4184400002</v>
      </c>
      <c r="E158" s="334">
        <v>2438493.4184400002</v>
      </c>
      <c r="F158" s="332"/>
      <c r="G158" s="332">
        <f t="shared" si="10"/>
        <v>-2438493.4184400002</v>
      </c>
      <c r="I158" s="19"/>
    </row>
    <row r="159" spans="1:9" x14ac:dyDescent="0.6">
      <c r="A159" s="330">
        <v>14</v>
      </c>
      <c r="B159" s="132" t="s">
        <v>355</v>
      </c>
      <c r="C159" s="19"/>
      <c r="D159" s="19">
        <v>2113644.0765960002</v>
      </c>
      <c r="E159" s="334">
        <v>2203644.0765960002</v>
      </c>
      <c r="F159" s="332"/>
      <c r="G159" s="332">
        <f t="shared" si="10"/>
        <v>-2203644.0765960002</v>
      </c>
      <c r="I159" s="19"/>
    </row>
    <row r="160" spans="1:9" x14ac:dyDescent="0.6">
      <c r="A160" s="330">
        <v>15</v>
      </c>
      <c r="B160" s="132" t="s">
        <v>356</v>
      </c>
      <c r="C160" s="19"/>
      <c r="D160" s="19">
        <v>1409096.051064</v>
      </c>
      <c r="E160" s="19">
        <v>1499096.051064</v>
      </c>
      <c r="F160" s="332"/>
      <c r="G160" s="332">
        <f t="shared" si="10"/>
        <v>-1499096.051064</v>
      </c>
      <c r="I160" s="19"/>
    </row>
    <row r="161" spans="3:9" x14ac:dyDescent="0.6">
      <c r="C161" s="19"/>
      <c r="D161" s="19"/>
      <c r="E161" s="19"/>
      <c r="F161" s="332"/>
      <c r="G161" s="332"/>
      <c r="I161" s="19"/>
    </row>
  </sheetData>
  <mergeCells count="8">
    <mergeCell ref="E56:I56"/>
    <mergeCell ref="A3:I3"/>
    <mergeCell ref="A4:I4"/>
    <mergeCell ref="E1:I1"/>
    <mergeCell ref="C5:C6"/>
    <mergeCell ref="D5:D6"/>
    <mergeCell ref="G5:G6"/>
    <mergeCell ref="H5:H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  <pageSetUpPr fitToPage="1"/>
  </sheetPr>
  <dimension ref="A1:AB141"/>
  <sheetViews>
    <sheetView tabSelected="1" zoomScale="90" zoomScaleNormal="90" workbookViewId="0">
      <selection activeCell="K14" sqref="K14"/>
    </sheetView>
  </sheetViews>
  <sheetFormatPr defaultColWidth="6.88671875" defaultRowHeight="24.9" customHeight="1" x14ac:dyDescent="0.25"/>
  <cols>
    <col min="1" max="1" width="5.44140625" style="18" bestFit="1" customWidth="1"/>
    <col min="2" max="2" width="16.44140625" style="41" customWidth="1"/>
    <col min="3" max="3" width="21.44140625" style="41" customWidth="1"/>
    <col min="4" max="4" width="12.88671875" style="13" customWidth="1"/>
    <col min="5" max="5" width="18.5546875" style="41" customWidth="1"/>
    <col min="6" max="6" width="14.88671875" style="13" bestFit="1" customWidth="1"/>
    <col min="7" max="8" width="15.88671875" style="42" bestFit="1" customWidth="1"/>
    <col min="9" max="9" width="41.5546875" style="42" bestFit="1" customWidth="1"/>
    <col min="10" max="10" width="18" style="83" bestFit="1" customWidth="1"/>
    <col min="11" max="11" width="11.109375" style="83" bestFit="1" customWidth="1"/>
    <col min="12" max="12" width="21.109375" style="41" customWidth="1"/>
    <col min="13" max="13" width="9.88671875" style="41" bestFit="1" customWidth="1"/>
    <col min="14" max="14" width="15.88671875" style="82" bestFit="1" customWidth="1"/>
    <col min="15" max="15" width="12.6640625" style="73" bestFit="1" customWidth="1"/>
    <col min="16" max="16" width="16" style="73" bestFit="1" customWidth="1"/>
    <col min="17" max="17" width="18.5546875" style="82" customWidth="1"/>
    <col min="18" max="18" width="16" style="82" bestFit="1" customWidth="1"/>
    <col min="19" max="19" width="21.88671875" style="41" bestFit="1" customWidth="1"/>
    <col min="20" max="21" width="15.88671875" style="41" bestFit="1" customWidth="1"/>
    <col min="22" max="22" width="18" style="41" bestFit="1" customWidth="1"/>
    <col min="23" max="23" width="16.33203125" style="41" bestFit="1" customWidth="1"/>
    <col min="24" max="24" width="18" style="3" bestFit="1" customWidth="1"/>
    <col min="25" max="25" width="20.88671875" style="13" bestFit="1" customWidth="1"/>
    <col min="26" max="26" width="15.88671875" style="42" bestFit="1" customWidth="1"/>
    <col min="27" max="27" width="15.109375" style="42" bestFit="1" customWidth="1"/>
    <col min="28" max="28" width="18" style="73" bestFit="1" customWidth="1"/>
    <col min="29" max="16384" width="6.88671875" style="41"/>
  </cols>
  <sheetData>
    <row r="1" spans="1:28" s="42" customFormat="1" ht="24.9" customHeight="1" x14ac:dyDescent="0.25">
      <c r="A1" s="349" t="s">
        <v>30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A1" s="349"/>
      <c r="AB1" s="349"/>
    </row>
    <row r="2" spans="1:28" s="42" customFormat="1" ht="24.9" customHeight="1" x14ac:dyDescent="0.25">
      <c r="A2" s="349" t="s">
        <v>31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A2" s="349"/>
      <c r="AB2" s="349"/>
    </row>
    <row r="3" spans="1:28" s="42" customFormat="1" ht="24.9" customHeight="1" x14ac:dyDescent="0.25">
      <c r="A3" s="368" t="s">
        <v>32</v>
      </c>
      <c r="B3" s="368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72"/>
      <c r="Z3" s="10"/>
      <c r="AA3" s="10"/>
      <c r="AB3" s="76"/>
    </row>
    <row r="4" spans="1:28" s="42" customFormat="1" ht="24.9" customHeight="1" x14ac:dyDescent="0.25">
      <c r="A4" s="368" t="s">
        <v>34</v>
      </c>
      <c r="B4" s="36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7"/>
      <c r="S4" s="10"/>
      <c r="T4" s="10"/>
      <c r="U4" s="10"/>
      <c r="V4" s="10"/>
      <c r="W4" s="10"/>
      <c r="X4" s="10"/>
      <c r="Y4" s="72"/>
      <c r="Z4" s="10"/>
      <c r="AA4" s="10"/>
      <c r="AB4" s="76"/>
    </row>
    <row r="5" spans="1:28" s="42" customFormat="1" ht="24.9" customHeight="1" x14ac:dyDescent="0.25">
      <c r="A5" s="349" t="s">
        <v>33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</row>
    <row r="6" spans="1:28" s="42" customFormat="1" ht="24.9" customHeight="1" x14ac:dyDescent="0.25">
      <c r="A6" s="369" t="s">
        <v>127</v>
      </c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A6" s="369"/>
      <c r="AB6" s="369"/>
    </row>
    <row r="7" spans="1:28" s="42" customFormat="1" ht="24.9" customHeight="1" x14ac:dyDescent="0.25">
      <c r="A7" s="362" t="s">
        <v>3</v>
      </c>
      <c r="B7" s="362" t="s">
        <v>4</v>
      </c>
      <c r="C7" s="357" t="s">
        <v>18</v>
      </c>
      <c r="D7" s="357" t="s">
        <v>17</v>
      </c>
      <c r="E7" s="357" t="s">
        <v>37</v>
      </c>
      <c r="F7" s="357" t="s">
        <v>109</v>
      </c>
      <c r="G7" s="350" t="s">
        <v>28</v>
      </c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2"/>
      <c r="T7" s="350" t="s">
        <v>28</v>
      </c>
      <c r="U7" s="351"/>
      <c r="V7" s="351"/>
      <c r="W7" s="351"/>
      <c r="X7" s="351"/>
      <c r="Y7" s="351"/>
      <c r="Z7" s="351"/>
      <c r="AA7" s="351"/>
      <c r="AB7" s="352"/>
    </row>
    <row r="8" spans="1:28" ht="24.9" customHeight="1" x14ac:dyDescent="0.25">
      <c r="A8" s="363"/>
      <c r="B8" s="363"/>
      <c r="C8" s="358"/>
      <c r="D8" s="358"/>
      <c r="E8" s="358"/>
      <c r="F8" s="358"/>
      <c r="G8" s="359" t="s">
        <v>11</v>
      </c>
      <c r="H8" s="359" t="s">
        <v>110</v>
      </c>
      <c r="I8" s="357" t="s">
        <v>14</v>
      </c>
      <c r="J8" s="359" t="s">
        <v>1</v>
      </c>
      <c r="K8" s="353" t="s">
        <v>111</v>
      </c>
      <c r="L8" s="354"/>
      <c r="M8" s="353" t="s">
        <v>40</v>
      </c>
      <c r="N8" s="354"/>
      <c r="O8" s="57" t="s">
        <v>55</v>
      </c>
      <c r="P8" s="357" t="s">
        <v>114</v>
      </c>
      <c r="Q8" s="357" t="s">
        <v>122</v>
      </c>
      <c r="R8" s="359" t="s">
        <v>115</v>
      </c>
      <c r="S8" s="357" t="s">
        <v>116</v>
      </c>
      <c r="T8" s="364" t="s">
        <v>20</v>
      </c>
      <c r="U8" s="365"/>
      <c r="V8" s="357" t="s">
        <v>117</v>
      </c>
      <c r="W8" s="357" t="s">
        <v>44</v>
      </c>
      <c r="X8" s="357" t="s">
        <v>118</v>
      </c>
      <c r="Y8" s="347" t="s">
        <v>35</v>
      </c>
      <c r="Z8" s="357" t="s">
        <v>53</v>
      </c>
      <c r="AA8" s="357" t="s">
        <v>81</v>
      </c>
      <c r="AB8" s="359" t="s">
        <v>46</v>
      </c>
    </row>
    <row r="9" spans="1:28" s="42" customFormat="1" ht="24.9" customHeight="1" x14ac:dyDescent="0.25">
      <c r="A9" s="363"/>
      <c r="B9" s="363"/>
      <c r="C9" s="358"/>
      <c r="D9" s="358"/>
      <c r="E9" s="358"/>
      <c r="F9" s="358"/>
      <c r="G9" s="360"/>
      <c r="H9" s="360"/>
      <c r="I9" s="358"/>
      <c r="J9" s="360"/>
      <c r="K9" s="355"/>
      <c r="L9" s="356"/>
      <c r="M9" s="355"/>
      <c r="N9" s="356"/>
      <c r="O9" s="39">
        <v>30920</v>
      </c>
      <c r="P9" s="358"/>
      <c r="Q9" s="358"/>
      <c r="R9" s="360"/>
      <c r="S9" s="358"/>
      <c r="T9" s="366"/>
      <c r="U9" s="367"/>
      <c r="V9" s="358"/>
      <c r="W9" s="358"/>
      <c r="X9" s="358"/>
      <c r="Y9" s="370"/>
      <c r="Z9" s="358"/>
      <c r="AA9" s="358"/>
      <c r="AB9" s="360"/>
    </row>
    <row r="10" spans="1:28" s="42" customFormat="1" ht="31.5" customHeight="1" x14ac:dyDescent="0.25">
      <c r="A10" s="363"/>
      <c r="B10" s="363"/>
      <c r="C10" s="358"/>
      <c r="D10" s="358"/>
      <c r="E10" s="361"/>
      <c r="F10" s="358"/>
      <c r="G10" s="360"/>
      <c r="H10" s="360"/>
      <c r="I10" s="358"/>
      <c r="J10" s="360"/>
      <c r="K10" s="120" t="s">
        <v>112</v>
      </c>
      <c r="L10" s="23" t="s">
        <v>5</v>
      </c>
      <c r="M10" s="94" t="s">
        <v>113</v>
      </c>
      <c r="N10" s="23" t="s">
        <v>5</v>
      </c>
      <c r="O10" s="7"/>
      <c r="P10" s="361"/>
      <c r="Q10" s="361"/>
      <c r="R10" s="360"/>
      <c r="S10" s="358"/>
      <c r="T10" s="7" t="s">
        <v>21</v>
      </c>
      <c r="U10" s="96" t="s">
        <v>22</v>
      </c>
      <c r="V10" s="358"/>
      <c r="W10" s="358"/>
      <c r="X10" s="358"/>
      <c r="Y10" s="370"/>
      <c r="Z10" s="361"/>
      <c r="AA10" s="361"/>
      <c r="AB10" s="360"/>
    </row>
    <row r="11" spans="1:28" s="80" customFormat="1" ht="24.9" customHeight="1" x14ac:dyDescent="0.25">
      <c r="A11" s="77"/>
      <c r="B11" s="77"/>
      <c r="C11" s="78"/>
      <c r="D11" s="78"/>
      <c r="E11" s="79">
        <v>1</v>
      </c>
      <c r="F11" s="78"/>
      <c r="G11" s="79">
        <v>2</v>
      </c>
      <c r="H11" s="79">
        <v>3</v>
      </c>
      <c r="I11" s="78"/>
      <c r="J11" s="79">
        <v>4</v>
      </c>
      <c r="K11" s="79"/>
      <c r="L11" s="77">
        <v>5</v>
      </c>
      <c r="M11" s="93"/>
      <c r="N11" s="77">
        <v>6</v>
      </c>
      <c r="O11" s="77"/>
      <c r="P11" s="77">
        <v>7</v>
      </c>
      <c r="Q11" s="77">
        <v>8</v>
      </c>
      <c r="R11" s="79">
        <v>9</v>
      </c>
      <c r="S11" s="78" t="s">
        <v>82</v>
      </c>
      <c r="T11" s="77" t="s">
        <v>91</v>
      </c>
      <c r="U11" s="77" t="s">
        <v>92</v>
      </c>
      <c r="V11" s="78" t="s">
        <v>93</v>
      </c>
      <c r="W11" s="78">
        <v>14</v>
      </c>
      <c r="X11" s="78" t="s">
        <v>94</v>
      </c>
      <c r="Y11" s="78">
        <v>16</v>
      </c>
      <c r="Z11" s="78" t="s">
        <v>95</v>
      </c>
      <c r="AA11" s="78">
        <v>18</v>
      </c>
      <c r="AB11" s="22" t="s">
        <v>96</v>
      </c>
    </row>
    <row r="12" spans="1:28" s="48" customFormat="1" ht="24.9" customHeight="1" x14ac:dyDescent="0.25">
      <c r="A12" s="46"/>
      <c r="B12" s="55"/>
      <c r="C12" s="49"/>
      <c r="D12" s="50">
        <v>0</v>
      </c>
      <c r="E12" s="50">
        <v>9585500</v>
      </c>
      <c r="F12" s="50">
        <v>88</v>
      </c>
      <c r="G12" s="50">
        <v>2170000</v>
      </c>
      <c r="H12" s="50">
        <v>5460000</v>
      </c>
      <c r="I12" s="50">
        <v>0</v>
      </c>
      <c r="J12" s="50">
        <v>70588755.039999992</v>
      </c>
      <c r="K12" s="50">
        <v>552</v>
      </c>
      <c r="L12" s="50">
        <v>70588755.039999992</v>
      </c>
      <c r="M12" s="50">
        <v>0</v>
      </c>
      <c r="N12" s="50">
        <v>0</v>
      </c>
      <c r="O12" s="50">
        <v>700</v>
      </c>
      <c r="P12" s="50">
        <v>21644000</v>
      </c>
      <c r="Q12" s="50">
        <v>0</v>
      </c>
      <c r="R12" s="50">
        <v>0</v>
      </c>
      <c r="S12" s="50">
        <v>180037010.07999998</v>
      </c>
      <c r="T12" s="50">
        <v>742500</v>
      </c>
      <c r="U12" s="50">
        <v>810000</v>
      </c>
      <c r="V12" s="50">
        <v>179294510.07999998</v>
      </c>
      <c r="W12" s="50">
        <v>28834132.715999998</v>
      </c>
      <c r="X12" s="50">
        <v>150460377.36399999</v>
      </c>
      <c r="Y12" s="50">
        <v>60000</v>
      </c>
      <c r="Z12" s="50">
        <v>21644000</v>
      </c>
      <c r="AA12" s="50">
        <v>0</v>
      </c>
      <c r="AB12" s="50">
        <v>128756377.36000001</v>
      </c>
    </row>
    <row r="13" spans="1:28" ht="35.1" customHeight="1" x14ac:dyDescent="0.25">
      <c r="A13" s="16">
        <v>1</v>
      </c>
      <c r="B13" s="6" t="s">
        <v>125</v>
      </c>
      <c r="C13" s="6" t="s">
        <v>0</v>
      </c>
      <c r="D13" s="68" t="s">
        <v>9</v>
      </c>
      <c r="E13" s="123">
        <v>3163500</v>
      </c>
      <c r="F13" s="12">
        <v>31</v>
      </c>
      <c r="G13" s="5">
        <v>790000</v>
      </c>
      <c r="H13" s="5">
        <v>2100000</v>
      </c>
      <c r="I13" s="293" t="s">
        <v>308</v>
      </c>
      <c r="J13" s="133">
        <f>ຂັ້ນເງິນເດືອນ!D12</f>
        <v>10800000</v>
      </c>
      <c r="K13" s="4">
        <v>184</v>
      </c>
      <c r="L13" s="5">
        <f>J13</f>
        <v>10800000</v>
      </c>
      <c r="M13" s="4"/>
      <c r="N13" s="4">
        <v>0</v>
      </c>
      <c r="O13" s="4">
        <v>300</v>
      </c>
      <c r="P13" s="4">
        <v>9276000</v>
      </c>
      <c r="Q13" s="4"/>
      <c r="R13" s="4"/>
      <c r="S13" s="124">
        <v>67252114</v>
      </c>
      <c r="T13" s="123">
        <v>247500</v>
      </c>
      <c r="U13" s="123">
        <v>270000</v>
      </c>
      <c r="V13" s="4">
        <v>67004614</v>
      </c>
      <c r="W13" s="8">
        <v>11126153.5</v>
      </c>
      <c r="X13" s="8">
        <v>55878460.5</v>
      </c>
      <c r="Y13" s="125">
        <v>20000</v>
      </c>
      <c r="Z13" s="8">
        <v>9276000</v>
      </c>
      <c r="AA13" s="8"/>
      <c r="AB13" s="8">
        <v>46582460.5</v>
      </c>
    </row>
    <row r="14" spans="1:28" ht="35.1" customHeight="1" x14ac:dyDescent="0.25">
      <c r="A14" s="16">
        <v>2</v>
      </c>
      <c r="B14" s="6" t="s">
        <v>126</v>
      </c>
      <c r="C14" s="6" t="s">
        <v>1</v>
      </c>
      <c r="D14" s="68" t="s">
        <v>10</v>
      </c>
      <c r="E14" s="123">
        <v>3211000</v>
      </c>
      <c r="F14" s="12">
        <v>26</v>
      </c>
      <c r="G14" s="5">
        <v>590000</v>
      </c>
      <c r="H14" s="5">
        <v>1680000</v>
      </c>
      <c r="I14" s="293" t="s">
        <v>308</v>
      </c>
      <c r="J14" s="133">
        <f>ຂັ້ນເງິນເດືອນ!D12</f>
        <v>10800000</v>
      </c>
      <c r="K14" s="4">
        <v>184</v>
      </c>
      <c r="L14" s="5">
        <f>J14</f>
        <v>10800000</v>
      </c>
      <c r="M14" s="4"/>
      <c r="N14" s="4">
        <v>0</v>
      </c>
      <c r="O14" s="4">
        <v>200</v>
      </c>
      <c r="P14" s="4">
        <v>6184000</v>
      </c>
      <c r="Q14" s="4"/>
      <c r="R14" s="4"/>
      <c r="S14" s="124">
        <v>56292448.039999999</v>
      </c>
      <c r="T14" s="123">
        <v>247500</v>
      </c>
      <c r="U14" s="123">
        <v>270000</v>
      </c>
      <c r="V14" s="4">
        <v>56044948.039999999</v>
      </c>
      <c r="W14" s="8">
        <v>8833989.6079999991</v>
      </c>
      <c r="X14" s="8">
        <v>47210958.431999996</v>
      </c>
      <c r="Y14" s="125">
        <v>20000</v>
      </c>
      <c r="Z14" s="8">
        <v>6184000</v>
      </c>
      <c r="AA14" s="8"/>
      <c r="AB14" s="8">
        <v>41006958.43</v>
      </c>
    </row>
    <row r="15" spans="1:28" ht="24.9" customHeight="1" x14ac:dyDescent="0.25">
      <c r="D15" s="18"/>
      <c r="F15" s="18"/>
      <c r="G15" s="41"/>
      <c r="H15" s="41"/>
      <c r="I15" s="41"/>
      <c r="J15" s="87"/>
      <c r="K15" s="87"/>
      <c r="N15" s="87"/>
      <c r="O15" s="87"/>
      <c r="P15" s="87"/>
      <c r="Q15" s="87"/>
      <c r="R15" s="87"/>
      <c r="X15" s="6"/>
      <c r="Y15" s="18"/>
      <c r="Z15" s="41"/>
      <c r="AA15" s="41"/>
      <c r="AB15" s="87"/>
    </row>
    <row r="16" spans="1:28" ht="24.9" customHeight="1" x14ac:dyDescent="0.25">
      <c r="D16" s="18"/>
      <c r="F16" s="18"/>
      <c r="G16" s="41"/>
      <c r="H16" s="41"/>
      <c r="I16" s="41"/>
      <c r="J16" s="87"/>
      <c r="K16" s="87"/>
      <c r="N16" s="87"/>
      <c r="O16" s="87"/>
      <c r="P16" s="87"/>
      <c r="Q16" s="87"/>
      <c r="R16" s="87"/>
      <c r="X16" s="6"/>
      <c r="Y16" s="18"/>
      <c r="Z16" s="41"/>
      <c r="AA16" s="41"/>
      <c r="AB16" s="87"/>
    </row>
    <row r="17" spans="4:28" ht="24.9" customHeight="1" x14ac:dyDescent="0.25">
      <c r="D17" s="18"/>
      <c r="F17" s="18"/>
      <c r="G17" s="41"/>
      <c r="H17" s="41"/>
      <c r="I17" s="41"/>
      <c r="J17" s="87"/>
      <c r="K17" s="87"/>
      <c r="N17" s="87"/>
      <c r="O17" s="87"/>
      <c r="P17" s="87"/>
      <c r="Q17" s="87"/>
      <c r="R17" s="87"/>
      <c r="X17" s="6"/>
      <c r="Y17" s="18"/>
      <c r="Z17" s="41"/>
      <c r="AA17" s="41"/>
      <c r="AB17" s="87"/>
    </row>
    <row r="18" spans="4:28" ht="24.9" customHeight="1" x14ac:dyDescent="0.25">
      <c r="D18" s="18"/>
      <c r="F18" s="18"/>
      <c r="G18" s="41"/>
      <c r="H18" s="41"/>
      <c r="I18" s="41"/>
      <c r="J18" s="87"/>
      <c r="K18" s="87"/>
      <c r="N18" s="87"/>
      <c r="O18" s="87"/>
      <c r="P18" s="87"/>
      <c r="Q18" s="87"/>
      <c r="R18" s="87"/>
      <c r="X18" s="6"/>
      <c r="Y18" s="18"/>
      <c r="Z18" s="41"/>
      <c r="AA18" s="41"/>
      <c r="AB18" s="87"/>
    </row>
    <row r="19" spans="4:28" ht="24.9" customHeight="1" x14ac:dyDescent="0.25">
      <c r="D19" s="18"/>
      <c r="F19" s="18"/>
      <c r="G19" s="41"/>
      <c r="H19" s="41"/>
      <c r="I19" s="41"/>
      <c r="J19" s="87"/>
      <c r="K19" s="87"/>
      <c r="N19" s="87"/>
      <c r="O19" s="87"/>
      <c r="P19" s="87"/>
      <c r="Q19" s="87"/>
      <c r="R19" s="87"/>
      <c r="X19" s="6"/>
      <c r="Y19" s="18"/>
      <c r="Z19" s="41"/>
      <c r="AA19" s="41"/>
      <c r="AB19" s="87"/>
    </row>
    <row r="20" spans="4:28" ht="24.9" customHeight="1" x14ac:dyDescent="0.25">
      <c r="D20" s="18"/>
      <c r="F20" s="18"/>
      <c r="G20" s="41"/>
      <c r="H20" s="41"/>
      <c r="I20" s="41"/>
      <c r="J20" s="87"/>
      <c r="K20" s="87"/>
      <c r="N20" s="87"/>
      <c r="O20" s="87"/>
      <c r="P20" s="87"/>
      <c r="Q20" s="87"/>
      <c r="R20" s="87"/>
      <c r="X20" s="6"/>
      <c r="Y20" s="18"/>
      <c r="Z20" s="41"/>
      <c r="AA20" s="41"/>
      <c r="AB20" s="87"/>
    </row>
    <row r="21" spans="4:28" ht="24.9" customHeight="1" x14ac:dyDescent="0.25">
      <c r="D21" s="18"/>
      <c r="F21" s="18"/>
      <c r="G21" s="41"/>
      <c r="H21" s="41"/>
      <c r="I21" s="41"/>
      <c r="J21" s="87"/>
      <c r="K21" s="87"/>
      <c r="N21" s="87"/>
      <c r="O21" s="87"/>
      <c r="P21" s="87"/>
      <c r="Q21" s="87"/>
      <c r="R21" s="87"/>
      <c r="X21" s="6"/>
      <c r="Y21" s="18"/>
      <c r="Z21" s="41"/>
      <c r="AA21" s="41"/>
      <c r="AB21" s="87"/>
    </row>
    <row r="22" spans="4:28" ht="24.9" customHeight="1" x14ac:dyDescent="0.25">
      <c r="D22" s="18"/>
      <c r="F22" s="18"/>
      <c r="G22" s="41"/>
      <c r="H22" s="41"/>
      <c r="I22" s="41"/>
      <c r="J22" s="87"/>
      <c r="K22" s="87"/>
      <c r="N22" s="87"/>
      <c r="O22" s="87"/>
      <c r="P22" s="87"/>
      <c r="Q22" s="87"/>
      <c r="R22" s="87"/>
      <c r="X22" s="6"/>
      <c r="Y22" s="18"/>
      <c r="Z22" s="41"/>
      <c r="AA22" s="41"/>
      <c r="AB22" s="87"/>
    </row>
    <row r="23" spans="4:28" ht="24.9" customHeight="1" x14ac:dyDescent="0.25">
      <c r="D23" s="18"/>
      <c r="F23" s="18"/>
      <c r="G23" s="41"/>
      <c r="H23" s="41"/>
      <c r="I23" s="41"/>
      <c r="J23" s="87"/>
      <c r="K23" s="87"/>
      <c r="N23" s="87"/>
      <c r="O23" s="87"/>
      <c r="P23" s="87"/>
      <c r="Q23" s="87"/>
      <c r="R23" s="87"/>
      <c r="X23" s="6"/>
      <c r="Y23" s="18"/>
      <c r="Z23" s="41"/>
      <c r="AA23" s="41"/>
      <c r="AB23" s="87"/>
    </row>
    <row r="24" spans="4:28" ht="24.9" customHeight="1" x14ac:dyDescent="0.25">
      <c r="D24" s="18"/>
      <c r="F24" s="18"/>
      <c r="G24" s="41"/>
      <c r="H24" s="41"/>
      <c r="I24" s="41"/>
      <c r="J24" s="87"/>
      <c r="K24" s="87"/>
      <c r="N24" s="87"/>
      <c r="O24" s="87"/>
      <c r="P24" s="87"/>
      <c r="Q24" s="87"/>
      <c r="R24" s="87"/>
      <c r="X24" s="6"/>
      <c r="Y24" s="18"/>
      <c r="Z24" s="41"/>
      <c r="AA24" s="41"/>
      <c r="AB24" s="87"/>
    </row>
    <row r="25" spans="4:28" ht="24.9" customHeight="1" x14ac:dyDescent="0.25">
      <c r="D25" s="18"/>
      <c r="F25" s="18"/>
      <c r="G25" s="41"/>
      <c r="H25" s="41"/>
      <c r="I25" s="41"/>
      <c r="J25" s="87"/>
      <c r="K25" s="87"/>
      <c r="N25" s="87"/>
      <c r="O25" s="87"/>
      <c r="P25" s="87"/>
      <c r="Q25" s="87"/>
      <c r="R25" s="87"/>
      <c r="X25" s="6"/>
      <c r="Y25" s="18"/>
      <c r="Z25" s="41"/>
      <c r="AA25" s="41"/>
      <c r="AB25" s="87"/>
    </row>
    <row r="26" spans="4:28" ht="24.9" customHeight="1" x14ac:dyDescent="0.25">
      <c r="D26" s="18"/>
      <c r="F26" s="18"/>
      <c r="G26" s="41"/>
      <c r="H26" s="41"/>
      <c r="I26" s="41"/>
      <c r="J26" s="87"/>
      <c r="K26" s="87"/>
      <c r="N26" s="87"/>
      <c r="O26" s="87"/>
      <c r="P26" s="87"/>
      <c r="Q26" s="87"/>
      <c r="R26" s="87"/>
      <c r="X26" s="6"/>
      <c r="Y26" s="18"/>
      <c r="Z26" s="41"/>
      <c r="AA26" s="41"/>
      <c r="AB26" s="87"/>
    </row>
    <row r="27" spans="4:28" ht="24.9" customHeight="1" x14ac:dyDescent="0.25">
      <c r="D27" s="18"/>
      <c r="F27" s="18"/>
      <c r="G27" s="41"/>
      <c r="H27" s="41"/>
      <c r="I27" s="41"/>
      <c r="J27" s="87"/>
      <c r="K27" s="87"/>
      <c r="N27" s="87"/>
      <c r="O27" s="87"/>
      <c r="P27" s="87"/>
      <c r="Q27" s="87"/>
      <c r="R27" s="87"/>
      <c r="X27" s="6"/>
      <c r="Y27" s="18"/>
      <c r="Z27" s="41"/>
      <c r="AA27" s="41"/>
      <c r="AB27" s="87"/>
    </row>
    <row r="28" spans="4:28" ht="24.9" customHeight="1" x14ac:dyDescent="0.25">
      <c r="D28" s="18"/>
      <c r="F28" s="18"/>
      <c r="G28" s="41"/>
      <c r="H28" s="41"/>
      <c r="I28" s="41"/>
      <c r="J28" s="87"/>
      <c r="K28" s="87"/>
      <c r="N28" s="87"/>
      <c r="O28" s="87"/>
      <c r="P28" s="87"/>
      <c r="Q28" s="87"/>
      <c r="R28" s="87"/>
      <c r="X28" s="6"/>
      <c r="Y28" s="18"/>
      <c r="Z28" s="41"/>
      <c r="AA28" s="41"/>
      <c r="AB28" s="87"/>
    </row>
    <row r="29" spans="4:28" ht="24.9" customHeight="1" x14ac:dyDescent="0.25">
      <c r="D29" s="18"/>
      <c r="F29" s="18"/>
      <c r="G29" s="41"/>
      <c r="H29" s="41"/>
      <c r="I29" s="41"/>
      <c r="J29" s="87"/>
      <c r="K29" s="87"/>
      <c r="N29" s="87"/>
      <c r="O29" s="87"/>
      <c r="P29" s="87"/>
      <c r="Q29" s="87"/>
      <c r="R29" s="87"/>
      <c r="X29" s="6"/>
      <c r="Y29" s="18"/>
      <c r="Z29" s="41"/>
      <c r="AA29" s="41"/>
      <c r="AB29" s="87"/>
    </row>
    <row r="30" spans="4:28" ht="24.9" customHeight="1" x14ac:dyDescent="0.25">
      <c r="D30" s="18"/>
      <c r="F30" s="18"/>
      <c r="G30" s="41"/>
      <c r="H30" s="41"/>
      <c r="I30" s="41"/>
      <c r="J30" s="87"/>
      <c r="K30" s="87"/>
      <c r="N30" s="87"/>
      <c r="O30" s="87"/>
      <c r="P30" s="87"/>
      <c r="Q30" s="87"/>
      <c r="R30" s="87"/>
      <c r="X30" s="6"/>
      <c r="Y30" s="18"/>
      <c r="Z30" s="41"/>
      <c r="AA30" s="41"/>
      <c r="AB30" s="87"/>
    </row>
    <row r="31" spans="4:28" ht="24.9" customHeight="1" x14ac:dyDescent="0.25">
      <c r="D31" s="18"/>
      <c r="F31" s="18"/>
      <c r="G31" s="41"/>
      <c r="H31" s="41"/>
      <c r="I31" s="41"/>
      <c r="J31" s="87"/>
      <c r="K31" s="87"/>
      <c r="N31" s="87"/>
      <c r="O31" s="87"/>
      <c r="P31" s="87"/>
      <c r="Q31" s="87"/>
      <c r="R31" s="87"/>
      <c r="X31" s="6"/>
      <c r="Y31" s="18"/>
      <c r="Z31" s="41"/>
      <c r="AA31" s="41"/>
      <c r="AB31" s="87"/>
    </row>
    <row r="32" spans="4:28" ht="24.9" customHeight="1" x14ac:dyDescent="0.25">
      <c r="D32" s="18"/>
      <c r="F32" s="18"/>
      <c r="G32" s="41"/>
      <c r="H32" s="41"/>
      <c r="I32" s="41"/>
      <c r="J32" s="87"/>
      <c r="K32" s="87"/>
      <c r="N32" s="87"/>
      <c r="O32" s="87"/>
      <c r="P32" s="87"/>
      <c r="Q32" s="87"/>
      <c r="R32" s="87"/>
      <c r="X32" s="6"/>
      <c r="Y32" s="18"/>
      <c r="Z32" s="41"/>
      <c r="AA32" s="41"/>
      <c r="AB32" s="87"/>
    </row>
    <row r="33" spans="4:28" ht="24.9" customHeight="1" x14ac:dyDescent="0.25">
      <c r="D33" s="18"/>
      <c r="F33" s="18"/>
      <c r="G33" s="41"/>
      <c r="H33" s="41"/>
      <c r="I33" s="41"/>
      <c r="J33" s="87"/>
      <c r="K33" s="87"/>
      <c r="N33" s="87"/>
      <c r="O33" s="87"/>
      <c r="P33" s="87"/>
      <c r="Q33" s="87"/>
      <c r="R33" s="87"/>
      <c r="X33" s="6"/>
      <c r="Y33" s="18"/>
      <c r="Z33" s="41"/>
      <c r="AA33" s="41"/>
      <c r="AB33" s="87"/>
    </row>
    <row r="34" spans="4:28" ht="24.9" customHeight="1" x14ac:dyDescent="0.25">
      <c r="D34" s="18"/>
      <c r="F34" s="18"/>
      <c r="G34" s="41"/>
      <c r="H34" s="41"/>
      <c r="I34" s="41"/>
      <c r="J34" s="87"/>
      <c r="K34" s="87"/>
      <c r="N34" s="87"/>
      <c r="O34" s="87"/>
      <c r="P34" s="87"/>
      <c r="Q34" s="87"/>
      <c r="R34" s="87"/>
      <c r="X34" s="6"/>
      <c r="Y34" s="18"/>
      <c r="Z34" s="41"/>
      <c r="AA34" s="41"/>
      <c r="AB34" s="87"/>
    </row>
    <row r="35" spans="4:28" ht="24.9" customHeight="1" x14ac:dyDescent="0.25">
      <c r="D35" s="18"/>
      <c r="F35" s="18"/>
      <c r="G35" s="41"/>
      <c r="H35" s="41"/>
      <c r="I35" s="41"/>
      <c r="J35" s="87"/>
      <c r="K35" s="87"/>
      <c r="N35" s="87"/>
      <c r="O35" s="87"/>
      <c r="P35" s="87"/>
      <c r="Q35" s="87"/>
      <c r="R35" s="87"/>
      <c r="X35" s="6"/>
      <c r="Y35" s="18"/>
      <c r="Z35" s="41"/>
      <c r="AA35" s="41"/>
      <c r="AB35" s="87"/>
    </row>
    <row r="36" spans="4:28" ht="24.9" customHeight="1" x14ac:dyDescent="0.25">
      <c r="D36" s="18"/>
      <c r="F36" s="18"/>
      <c r="G36" s="41"/>
      <c r="H36" s="41"/>
      <c r="I36" s="41"/>
      <c r="J36" s="87"/>
      <c r="K36" s="87"/>
      <c r="N36" s="87"/>
      <c r="O36" s="87"/>
      <c r="P36" s="87"/>
      <c r="Q36" s="87"/>
      <c r="R36" s="87"/>
      <c r="X36" s="6"/>
      <c r="Y36" s="18"/>
      <c r="Z36" s="41"/>
      <c r="AA36" s="41"/>
      <c r="AB36" s="87"/>
    </row>
    <row r="37" spans="4:28" ht="24.9" customHeight="1" x14ac:dyDescent="0.25">
      <c r="D37" s="18"/>
      <c r="F37" s="18"/>
      <c r="G37" s="41"/>
      <c r="H37" s="41"/>
      <c r="I37" s="41"/>
      <c r="J37" s="87"/>
      <c r="K37" s="87"/>
      <c r="N37" s="87"/>
      <c r="O37" s="87"/>
      <c r="P37" s="87"/>
      <c r="Q37" s="87"/>
      <c r="R37" s="87"/>
      <c r="X37" s="6"/>
      <c r="Y37" s="18"/>
      <c r="Z37" s="41"/>
      <c r="AA37" s="41"/>
      <c r="AB37" s="87"/>
    </row>
    <row r="38" spans="4:28" ht="24.9" customHeight="1" x14ac:dyDescent="0.25">
      <c r="D38" s="18"/>
      <c r="F38" s="18"/>
      <c r="G38" s="41"/>
      <c r="H38" s="41"/>
      <c r="I38" s="41"/>
      <c r="J38" s="87"/>
      <c r="K38" s="87"/>
      <c r="N38" s="87"/>
      <c r="O38" s="87"/>
      <c r="P38" s="87"/>
      <c r="Q38" s="87"/>
      <c r="R38" s="87"/>
      <c r="X38" s="6"/>
      <c r="Y38" s="18"/>
      <c r="Z38" s="41"/>
      <c r="AA38" s="41"/>
      <c r="AB38" s="87"/>
    </row>
    <row r="39" spans="4:28" ht="24.9" customHeight="1" x14ac:dyDescent="0.25">
      <c r="D39" s="18"/>
      <c r="F39" s="18"/>
      <c r="G39" s="41"/>
      <c r="H39" s="41"/>
      <c r="I39" s="41"/>
      <c r="J39" s="87"/>
      <c r="K39" s="87"/>
      <c r="N39" s="87"/>
      <c r="O39" s="87"/>
      <c r="P39" s="87"/>
      <c r="Q39" s="87"/>
      <c r="R39" s="87"/>
      <c r="X39" s="6"/>
      <c r="Y39" s="18"/>
      <c r="Z39" s="41"/>
      <c r="AA39" s="41"/>
      <c r="AB39" s="87"/>
    </row>
    <row r="40" spans="4:28" ht="24.9" customHeight="1" x14ac:dyDescent="0.25">
      <c r="D40" s="18"/>
      <c r="F40" s="18"/>
      <c r="G40" s="41"/>
      <c r="H40" s="41"/>
      <c r="I40" s="41"/>
      <c r="J40" s="87"/>
      <c r="K40" s="87"/>
      <c r="N40" s="87"/>
      <c r="O40" s="87"/>
      <c r="P40" s="87"/>
      <c r="Q40" s="87"/>
      <c r="R40" s="87"/>
      <c r="X40" s="6"/>
      <c r="Y40" s="18"/>
      <c r="Z40" s="41"/>
      <c r="AA40" s="41"/>
      <c r="AB40" s="87"/>
    </row>
    <row r="41" spans="4:28" ht="24.9" customHeight="1" x14ac:dyDescent="0.25">
      <c r="D41" s="18"/>
      <c r="F41" s="18"/>
      <c r="G41" s="41"/>
      <c r="H41" s="41"/>
      <c r="I41" s="41"/>
      <c r="J41" s="87"/>
      <c r="K41" s="87"/>
      <c r="N41" s="87"/>
      <c r="O41" s="87"/>
      <c r="P41" s="87"/>
      <c r="Q41" s="87"/>
      <c r="R41" s="87"/>
      <c r="X41" s="6"/>
      <c r="Y41" s="18"/>
      <c r="Z41" s="41"/>
      <c r="AA41" s="41"/>
      <c r="AB41" s="87"/>
    </row>
    <row r="42" spans="4:28" ht="24.9" customHeight="1" x14ac:dyDescent="0.25">
      <c r="D42" s="18"/>
      <c r="F42" s="18"/>
      <c r="G42" s="41"/>
      <c r="H42" s="41"/>
      <c r="I42" s="41"/>
      <c r="J42" s="87"/>
      <c r="K42" s="87"/>
      <c r="N42" s="87"/>
      <c r="O42" s="87"/>
      <c r="P42" s="87"/>
      <c r="Q42" s="87"/>
      <c r="R42" s="87"/>
      <c r="X42" s="6"/>
      <c r="Y42" s="18"/>
      <c r="Z42" s="41"/>
      <c r="AA42" s="41"/>
      <c r="AB42" s="87"/>
    </row>
    <row r="43" spans="4:28" ht="24.9" customHeight="1" x14ac:dyDescent="0.25">
      <c r="D43" s="18"/>
      <c r="F43" s="18"/>
      <c r="G43" s="41"/>
      <c r="H43" s="41"/>
      <c r="I43" s="41"/>
      <c r="J43" s="87"/>
      <c r="K43" s="87"/>
      <c r="N43" s="87"/>
      <c r="O43" s="87"/>
      <c r="P43" s="87"/>
      <c r="Q43" s="87"/>
      <c r="R43" s="87"/>
      <c r="X43" s="6"/>
      <c r="Y43" s="18"/>
      <c r="Z43" s="41"/>
      <c r="AA43" s="41"/>
      <c r="AB43" s="87"/>
    </row>
    <row r="44" spans="4:28" ht="24.9" customHeight="1" x14ac:dyDescent="0.25">
      <c r="D44" s="18"/>
      <c r="F44" s="18"/>
      <c r="G44" s="41"/>
      <c r="H44" s="41"/>
      <c r="I44" s="41"/>
      <c r="J44" s="87"/>
      <c r="K44" s="87"/>
      <c r="N44" s="87"/>
      <c r="O44" s="87"/>
      <c r="P44" s="87"/>
      <c r="Q44" s="87"/>
      <c r="R44" s="87"/>
      <c r="X44" s="6"/>
      <c r="Y44" s="18"/>
      <c r="Z44" s="41"/>
      <c r="AA44" s="41"/>
      <c r="AB44" s="87"/>
    </row>
    <row r="45" spans="4:28" ht="24.9" customHeight="1" x14ac:dyDescent="0.25">
      <c r="D45" s="18"/>
      <c r="F45" s="18"/>
      <c r="G45" s="41"/>
      <c r="H45" s="41"/>
      <c r="I45" s="41"/>
      <c r="J45" s="87"/>
      <c r="K45" s="87"/>
      <c r="N45" s="87"/>
      <c r="O45" s="87"/>
      <c r="P45" s="87"/>
      <c r="Q45" s="87"/>
      <c r="R45" s="87"/>
      <c r="X45" s="6"/>
      <c r="Y45" s="18"/>
      <c r="Z45" s="41"/>
      <c r="AA45" s="41"/>
      <c r="AB45" s="87"/>
    </row>
    <row r="46" spans="4:28" ht="24.9" customHeight="1" x14ac:dyDescent="0.25">
      <c r="D46" s="18"/>
      <c r="F46" s="18"/>
      <c r="G46" s="41"/>
      <c r="H46" s="41"/>
      <c r="I46" s="41"/>
      <c r="J46" s="87"/>
      <c r="K46" s="87"/>
      <c r="N46" s="87"/>
      <c r="O46" s="87"/>
      <c r="P46" s="87"/>
      <c r="Q46" s="87"/>
      <c r="R46" s="87"/>
      <c r="X46" s="6"/>
      <c r="Y46" s="18"/>
      <c r="Z46" s="41"/>
      <c r="AA46" s="41"/>
      <c r="AB46" s="87"/>
    </row>
    <row r="47" spans="4:28" ht="24.9" customHeight="1" x14ac:dyDescent="0.25">
      <c r="D47" s="18"/>
      <c r="F47" s="18"/>
      <c r="G47" s="41"/>
      <c r="H47" s="41"/>
      <c r="I47" s="41"/>
      <c r="J47" s="87"/>
      <c r="K47" s="87"/>
      <c r="N47" s="87"/>
      <c r="O47" s="87"/>
      <c r="P47" s="87"/>
      <c r="Q47" s="87"/>
      <c r="R47" s="87"/>
      <c r="X47" s="6"/>
      <c r="Y47" s="18"/>
      <c r="Z47" s="41"/>
      <c r="AA47" s="41"/>
      <c r="AB47" s="87"/>
    </row>
    <row r="48" spans="4:28" ht="24.9" customHeight="1" x14ac:dyDescent="0.25">
      <c r="D48" s="18"/>
      <c r="F48" s="18"/>
      <c r="G48" s="41"/>
      <c r="H48" s="41"/>
      <c r="I48" s="41"/>
      <c r="J48" s="87"/>
      <c r="K48" s="87"/>
      <c r="N48" s="87"/>
      <c r="O48" s="87"/>
      <c r="P48" s="87"/>
      <c r="Q48" s="87"/>
      <c r="R48" s="87"/>
      <c r="X48" s="6"/>
      <c r="Y48" s="18"/>
      <c r="Z48" s="41"/>
      <c r="AA48" s="41"/>
      <c r="AB48" s="87"/>
    </row>
    <row r="49" spans="4:28" ht="24.9" customHeight="1" x14ac:dyDescent="0.25">
      <c r="D49" s="18"/>
      <c r="F49" s="18"/>
      <c r="G49" s="41"/>
      <c r="H49" s="41"/>
      <c r="I49" s="41"/>
      <c r="J49" s="87"/>
      <c r="K49" s="87"/>
      <c r="N49" s="87"/>
      <c r="O49" s="87"/>
      <c r="P49" s="87"/>
      <c r="Q49" s="87"/>
      <c r="R49" s="87"/>
      <c r="X49" s="6"/>
      <c r="Y49" s="18"/>
      <c r="Z49" s="41"/>
      <c r="AA49" s="41"/>
      <c r="AB49" s="87"/>
    </row>
    <row r="50" spans="4:28" ht="24.9" customHeight="1" x14ac:dyDescent="0.25">
      <c r="D50" s="18"/>
      <c r="F50" s="18"/>
      <c r="G50" s="41"/>
      <c r="H50" s="41"/>
      <c r="I50" s="41"/>
      <c r="J50" s="87"/>
      <c r="K50" s="87"/>
      <c r="N50" s="87"/>
      <c r="O50" s="87"/>
      <c r="P50" s="87"/>
      <c r="Q50" s="87"/>
      <c r="R50" s="87"/>
      <c r="X50" s="6"/>
      <c r="Y50" s="18"/>
      <c r="Z50" s="41"/>
      <c r="AA50" s="41"/>
      <c r="AB50" s="87"/>
    </row>
    <row r="51" spans="4:28" ht="24.9" customHeight="1" x14ac:dyDescent="0.25">
      <c r="D51" s="18"/>
      <c r="F51" s="18"/>
      <c r="G51" s="41"/>
      <c r="H51" s="41"/>
      <c r="I51" s="41"/>
      <c r="J51" s="87"/>
      <c r="K51" s="87"/>
      <c r="N51" s="87"/>
      <c r="O51" s="87"/>
      <c r="P51" s="87"/>
      <c r="Q51" s="87"/>
      <c r="R51" s="87"/>
      <c r="X51" s="6"/>
      <c r="Y51" s="18"/>
      <c r="Z51" s="41"/>
      <c r="AA51" s="41"/>
      <c r="AB51" s="87"/>
    </row>
    <row r="52" spans="4:28" ht="24.9" customHeight="1" x14ac:dyDescent="0.25">
      <c r="D52" s="18"/>
      <c r="F52" s="18"/>
      <c r="G52" s="41"/>
      <c r="H52" s="41"/>
      <c r="I52" s="41"/>
      <c r="J52" s="87"/>
      <c r="K52" s="87"/>
      <c r="N52" s="87"/>
      <c r="O52" s="87"/>
      <c r="P52" s="87"/>
      <c r="Q52" s="87"/>
      <c r="R52" s="87"/>
      <c r="X52" s="6"/>
      <c r="Y52" s="18"/>
      <c r="Z52" s="41"/>
      <c r="AA52" s="41"/>
      <c r="AB52" s="87"/>
    </row>
    <row r="53" spans="4:28" ht="24.9" customHeight="1" x14ac:dyDescent="0.25">
      <c r="D53" s="18"/>
      <c r="F53" s="18"/>
      <c r="G53" s="41"/>
      <c r="H53" s="41"/>
      <c r="I53" s="41"/>
      <c r="J53" s="87"/>
      <c r="K53" s="87"/>
      <c r="N53" s="87"/>
      <c r="O53" s="87"/>
      <c r="P53" s="87"/>
      <c r="Q53" s="87"/>
      <c r="R53" s="87"/>
      <c r="X53" s="6"/>
      <c r="Y53" s="18"/>
      <c r="Z53" s="41"/>
      <c r="AA53" s="41"/>
      <c r="AB53" s="87"/>
    </row>
    <row r="54" spans="4:28" ht="24.9" customHeight="1" x14ac:dyDescent="0.25">
      <c r="D54" s="18"/>
      <c r="F54" s="18"/>
      <c r="G54" s="41"/>
      <c r="H54" s="41"/>
      <c r="I54" s="41"/>
      <c r="J54" s="87"/>
      <c r="K54" s="87"/>
      <c r="N54" s="87"/>
      <c r="O54" s="87"/>
      <c r="P54" s="87"/>
      <c r="Q54" s="87"/>
      <c r="R54" s="87"/>
      <c r="X54" s="6"/>
      <c r="Y54" s="18"/>
      <c r="Z54" s="41"/>
      <c r="AA54" s="41"/>
      <c r="AB54" s="87"/>
    </row>
    <row r="55" spans="4:28" ht="24.9" customHeight="1" x14ac:dyDescent="0.25">
      <c r="D55" s="18"/>
      <c r="F55" s="18"/>
      <c r="G55" s="41"/>
      <c r="H55" s="41"/>
      <c r="I55" s="41"/>
      <c r="J55" s="87"/>
      <c r="K55" s="87"/>
      <c r="N55" s="87"/>
      <c r="O55" s="87"/>
      <c r="P55" s="87"/>
      <c r="Q55" s="87"/>
      <c r="R55" s="87"/>
      <c r="X55" s="6"/>
      <c r="Y55" s="18"/>
      <c r="Z55" s="41"/>
      <c r="AA55" s="41"/>
      <c r="AB55" s="87"/>
    </row>
    <row r="56" spans="4:28" ht="24.9" customHeight="1" x14ac:dyDescent="0.25">
      <c r="D56" s="18"/>
      <c r="F56" s="18"/>
      <c r="G56" s="41"/>
      <c r="H56" s="41"/>
      <c r="I56" s="41"/>
      <c r="J56" s="87"/>
      <c r="K56" s="87"/>
      <c r="N56" s="87"/>
      <c r="O56" s="87"/>
      <c r="P56" s="87"/>
      <c r="Q56" s="87"/>
      <c r="R56" s="87"/>
      <c r="X56" s="6"/>
      <c r="Y56" s="18"/>
      <c r="Z56" s="41"/>
      <c r="AA56" s="41"/>
      <c r="AB56" s="87"/>
    </row>
    <row r="57" spans="4:28" ht="24.9" customHeight="1" x14ac:dyDescent="0.25">
      <c r="D57" s="18"/>
      <c r="F57" s="18"/>
      <c r="G57" s="41"/>
      <c r="H57" s="41"/>
      <c r="I57" s="41"/>
      <c r="J57" s="87"/>
      <c r="K57" s="87"/>
      <c r="N57" s="87"/>
      <c r="O57" s="87"/>
      <c r="P57" s="87"/>
      <c r="Q57" s="87"/>
      <c r="R57" s="87"/>
      <c r="X57" s="6"/>
      <c r="Y57" s="18"/>
      <c r="Z57" s="41"/>
      <c r="AA57" s="41"/>
      <c r="AB57" s="87"/>
    </row>
    <row r="58" spans="4:28" ht="24.9" customHeight="1" x14ac:dyDescent="0.25">
      <c r="D58" s="18"/>
      <c r="F58" s="18"/>
      <c r="G58" s="41"/>
      <c r="H58" s="41"/>
      <c r="I58" s="41"/>
      <c r="J58" s="87"/>
      <c r="K58" s="87"/>
      <c r="N58" s="87"/>
      <c r="O58" s="87"/>
      <c r="P58" s="87"/>
      <c r="Q58" s="87"/>
      <c r="R58" s="87"/>
      <c r="X58" s="6"/>
      <c r="Y58" s="18"/>
      <c r="Z58" s="41"/>
      <c r="AA58" s="41"/>
      <c r="AB58" s="87"/>
    </row>
    <row r="59" spans="4:28" ht="24.9" customHeight="1" x14ac:dyDescent="0.25">
      <c r="D59" s="18"/>
      <c r="F59" s="18"/>
      <c r="G59" s="41"/>
      <c r="H59" s="41"/>
      <c r="I59" s="41"/>
      <c r="J59" s="87"/>
      <c r="K59" s="87"/>
      <c r="N59" s="87"/>
      <c r="O59" s="87"/>
      <c r="P59" s="87"/>
      <c r="Q59" s="87"/>
      <c r="R59" s="87"/>
      <c r="X59" s="6"/>
      <c r="Y59" s="18"/>
      <c r="Z59" s="41"/>
      <c r="AA59" s="41"/>
      <c r="AB59" s="87"/>
    </row>
    <row r="60" spans="4:28" ht="24.9" customHeight="1" x14ac:dyDescent="0.25">
      <c r="D60" s="18"/>
      <c r="F60" s="18"/>
      <c r="G60" s="41"/>
      <c r="H60" s="41"/>
      <c r="I60" s="41"/>
      <c r="J60" s="87"/>
      <c r="K60" s="87"/>
      <c r="N60" s="87"/>
      <c r="O60" s="87"/>
      <c r="P60" s="87"/>
      <c r="Q60" s="87"/>
      <c r="R60" s="87"/>
      <c r="X60" s="6"/>
      <c r="Y60" s="18"/>
      <c r="Z60" s="41"/>
      <c r="AA60" s="41"/>
      <c r="AB60" s="87"/>
    </row>
    <row r="61" spans="4:28" ht="24.9" customHeight="1" x14ac:dyDescent="0.25">
      <c r="D61" s="18"/>
      <c r="F61" s="18"/>
      <c r="G61" s="41"/>
      <c r="H61" s="41"/>
      <c r="I61" s="41"/>
      <c r="J61" s="87"/>
      <c r="K61" s="87"/>
      <c r="N61" s="87"/>
      <c r="O61" s="87"/>
      <c r="P61" s="87"/>
      <c r="Q61" s="87"/>
      <c r="R61" s="87"/>
      <c r="X61" s="6"/>
      <c r="Y61" s="18"/>
      <c r="Z61" s="41"/>
      <c r="AA61" s="41"/>
      <c r="AB61" s="87"/>
    </row>
    <row r="62" spans="4:28" ht="24.9" customHeight="1" x14ac:dyDescent="0.25">
      <c r="D62" s="18"/>
      <c r="F62" s="18"/>
      <c r="G62" s="41"/>
      <c r="H62" s="41"/>
      <c r="I62" s="41"/>
      <c r="J62" s="87"/>
      <c r="K62" s="87"/>
      <c r="N62" s="87"/>
      <c r="O62" s="87"/>
      <c r="P62" s="87"/>
      <c r="Q62" s="87"/>
      <c r="R62" s="87"/>
      <c r="X62" s="6"/>
      <c r="Y62" s="18"/>
      <c r="Z62" s="41"/>
      <c r="AA62" s="41"/>
      <c r="AB62" s="87"/>
    </row>
    <row r="63" spans="4:28" ht="24.9" customHeight="1" x14ac:dyDescent="0.25">
      <c r="D63" s="18"/>
      <c r="F63" s="18"/>
      <c r="G63" s="41"/>
      <c r="H63" s="41"/>
      <c r="I63" s="41"/>
      <c r="J63" s="87"/>
      <c r="K63" s="87"/>
      <c r="N63" s="87"/>
      <c r="O63" s="87"/>
      <c r="P63" s="87"/>
      <c r="Q63" s="87"/>
      <c r="R63" s="87"/>
      <c r="X63" s="6"/>
      <c r="Y63" s="18"/>
      <c r="Z63" s="41"/>
      <c r="AA63" s="41"/>
      <c r="AB63" s="87"/>
    </row>
    <row r="64" spans="4:28" ht="24.9" customHeight="1" x14ac:dyDescent="0.25">
      <c r="D64" s="18"/>
      <c r="F64" s="18"/>
      <c r="G64" s="41"/>
      <c r="H64" s="41"/>
      <c r="I64" s="41"/>
      <c r="J64" s="87"/>
      <c r="K64" s="87"/>
      <c r="N64" s="87"/>
      <c r="O64" s="87"/>
      <c r="P64" s="87"/>
      <c r="Q64" s="87"/>
      <c r="R64" s="87"/>
      <c r="X64" s="6"/>
      <c r="Y64" s="18"/>
      <c r="Z64" s="41"/>
      <c r="AA64" s="41"/>
      <c r="AB64" s="87"/>
    </row>
    <row r="65" spans="4:28" ht="24.9" customHeight="1" x14ac:dyDescent="0.25">
      <c r="D65" s="18"/>
      <c r="F65" s="18"/>
      <c r="G65" s="41"/>
      <c r="H65" s="41"/>
      <c r="I65" s="41"/>
      <c r="J65" s="87"/>
      <c r="K65" s="87"/>
      <c r="N65" s="87"/>
      <c r="O65" s="87"/>
      <c r="P65" s="87"/>
      <c r="Q65" s="87"/>
      <c r="R65" s="87"/>
      <c r="X65" s="6"/>
      <c r="Y65" s="18"/>
      <c r="Z65" s="41"/>
      <c r="AA65" s="41"/>
      <c r="AB65" s="87"/>
    </row>
    <row r="66" spans="4:28" ht="24.9" customHeight="1" x14ac:dyDescent="0.25">
      <c r="D66" s="18"/>
      <c r="F66" s="18"/>
      <c r="G66" s="41"/>
      <c r="H66" s="41"/>
      <c r="I66" s="41"/>
      <c r="J66" s="87"/>
      <c r="K66" s="87"/>
      <c r="N66" s="87"/>
      <c r="O66" s="87"/>
      <c r="P66" s="87"/>
      <c r="Q66" s="87"/>
      <c r="R66" s="87"/>
      <c r="X66" s="6"/>
      <c r="Y66" s="18"/>
      <c r="Z66" s="41"/>
      <c r="AA66" s="41"/>
      <c r="AB66" s="87"/>
    </row>
    <row r="67" spans="4:28" ht="24.9" customHeight="1" x14ac:dyDescent="0.25">
      <c r="D67" s="18"/>
      <c r="F67" s="18"/>
      <c r="G67" s="41"/>
      <c r="H67" s="41"/>
      <c r="I67" s="41"/>
      <c r="J67" s="87"/>
      <c r="K67" s="87"/>
      <c r="N67" s="87"/>
      <c r="O67" s="87"/>
      <c r="P67" s="87"/>
      <c r="Q67" s="87"/>
      <c r="R67" s="87"/>
      <c r="X67" s="6"/>
      <c r="Y67" s="18"/>
      <c r="Z67" s="41"/>
      <c r="AA67" s="41"/>
      <c r="AB67" s="87"/>
    </row>
    <row r="68" spans="4:28" ht="24.9" customHeight="1" x14ac:dyDescent="0.25">
      <c r="D68" s="18"/>
      <c r="F68" s="18"/>
      <c r="G68" s="41"/>
      <c r="H68" s="41"/>
      <c r="I68" s="41"/>
      <c r="J68" s="87"/>
      <c r="K68" s="87"/>
      <c r="N68" s="87"/>
      <c r="O68" s="87"/>
      <c r="P68" s="87"/>
      <c r="Q68" s="87"/>
      <c r="R68" s="87"/>
      <c r="X68" s="6"/>
      <c r="Y68" s="18"/>
      <c r="Z68" s="41"/>
      <c r="AA68" s="41"/>
      <c r="AB68" s="87"/>
    </row>
    <row r="69" spans="4:28" ht="24.9" customHeight="1" x14ac:dyDescent="0.25">
      <c r="D69" s="18"/>
      <c r="F69" s="18"/>
      <c r="G69" s="41"/>
      <c r="H69" s="41"/>
      <c r="I69" s="41"/>
      <c r="J69" s="87"/>
      <c r="K69" s="87"/>
      <c r="N69" s="87"/>
      <c r="O69" s="87"/>
      <c r="P69" s="87"/>
      <c r="Q69" s="87"/>
      <c r="R69" s="87"/>
      <c r="X69" s="6"/>
      <c r="Y69" s="18"/>
      <c r="Z69" s="41"/>
      <c r="AA69" s="41"/>
      <c r="AB69" s="87"/>
    </row>
    <row r="70" spans="4:28" ht="24.9" customHeight="1" x14ac:dyDescent="0.25">
      <c r="D70" s="18"/>
      <c r="F70" s="18"/>
      <c r="G70" s="41"/>
      <c r="H70" s="41"/>
      <c r="I70" s="41"/>
      <c r="J70" s="87"/>
      <c r="K70" s="87"/>
      <c r="N70" s="87"/>
      <c r="O70" s="87"/>
      <c r="P70" s="87"/>
      <c r="Q70" s="87"/>
      <c r="R70" s="87"/>
      <c r="X70" s="6"/>
      <c r="Y70" s="18"/>
      <c r="Z70" s="41"/>
      <c r="AA70" s="41"/>
      <c r="AB70" s="87"/>
    </row>
    <row r="71" spans="4:28" ht="24.9" customHeight="1" x14ac:dyDescent="0.25">
      <c r="D71" s="18"/>
      <c r="F71" s="18"/>
      <c r="G71" s="41"/>
      <c r="H71" s="41"/>
      <c r="I71" s="41"/>
      <c r="J71" s="87"/>
      <c r="K71" s="87"/>
      <c r="N71" s="87"/>
      <c r="O71" s="87"/>
      <c r="P71" s="87"/>
      <c r="Q71" s="87"/>
      <c r="R71" s="87"/>
      <c r="X71" s="6"/>
      <c r="Y71" s="18"/>
      <c r="Z71" s="41"/>
      <c r="AA71" s="41"/>
      <c r="AB71" s="87"/>
    </row>
    <row r="72" spans="4:28" ht="24.9" customHeight="1" x14ac:dyDescent="0.25">
      <c r="D72" s="18"/>
      <c r="F72" s="18"/>
      <c r="G72" s="41"/>
      <c r="H72" s="41"/>
      <c r="I72" s="41"/>
      <c r="J72" s="87"/>
      <c r="K72" s="87"/>
      <c r="N72" s="87"/>
      <c r="O72" s="87"/>
      <c r="P72" s="87"/>
      <c r="Q72" s="87"/>
      <c r="R72" s="87"/>
      <c r="X72" s="6"/>
      <c r="Y72" s="18"/>
      <c r="Z72" s="41"/>
      <c r="AA72" s="41"/>
      <c r="AB72" s="87"/>
    </row>
    <row r="73" spans="4:28" ht="24.9" customHeight="1" x14ac:dyDescent="0.25">
      <c r="D73" s="18"/>
      <c r="F73" s="18"/>
      <c r="G73" s="41"/>
      <c r="H73" s="41"/>
      <c r="I73" s="41"/>
      <c r="J73" s="87"/>
      <c r="K73" s="87"/>
      <c r="N73" s="87"/>
      <c r="O73" s="87"/>
      <c r="P73" s="87"/>
      <c r="Q73" s="87"/>
      <c r="R73" s="87"/>
      <c r="X73" s="6"/>
      <c r="Y73" s="18"/>
      <c r="Z73" s="41"/>
      <c r="AA73" s="41"/>
      <c r="AB73" s="87"/>
    </row>
    <row r="74" spans="4:28" ht="24.9" customHeight="1" x14ac:dyDescent="0.25">
      <c r="D74" s="18"/>
      <c r="F74" s="18"/>
      <c r="G74" s="41"/>
      <c r="H74" s="41"/>
      <c r="I74" s="41"/>
      <c r="J74" s="87"/>
      <c r="K74" s="87"/>
      <c r="N74" s="87"/>
      <c r="O74" s="87"/>
      <c r="P74" s="87"/>
      <c r="Q74" s="87"/>
      <c r="R74" s="87"/>
      <c r="X74" s="6"/>
      <c r="Y74" s="18"/>
      <c r="Z74" s="41"/>
      <c r="AA74" s="41"/>
      <c r="AB74" s="87"/>
    </row>
    <row r="75" spans="4:28" ht="24.9" customHeight="1" x14ac:dyDescent="0.25">
      <c r="D75" s="18"/>
      <c r="F75" s="18"/>
      <c r="G75" s="41"/>
      <c r="H75" s="41"/>
      <c r="I75" s="41"/>
      <c r="J75" s="87"/>
      <c r="K75" s="87"/>
      <c r="N75" s="87"/>
      <c r="O75" s="87"/>
      <c r="P75" s="87"/>
      <c r="Q75" s="87"/>
      <c r="R75" s="87"/>
      <c r="X75" s="6"/>
      <c r="Y75" s="18"/>
      <c r="Z75" s="41"/>
      <c r="AA75" s="41"/>
      <c r="AB75" s="87"/>
    </row>
    <row r="76" spans="4:28" ht="24.9" customHeight="1" x14ac:dyDescent="0.25">
      <c r="D76" s="18"/>
      <c r="F76" s="18"/>
      <c r="G76" s="41"/>
      <c r="H76" s="41"/>
      <c r="I76" s="41"/>
      <c r="J76" s="87"/>
      <c r="K76" s="87"/>
      <c r="N76" s="87"/>
      <c r="O76" s="87"/>
      <c r="P76" s="87"/>
      <c r="Q76" s="87"/>
      <c r="R76" s="87"/>
      <c r="X76" s="6"/>
      <c r="Y76" s="18"/>
      <c r="Z76" s="41"/>
      <c r="AA76" s="41"/>
      <c r="AB76" s="87"/>
    </row>
    <row r="77" spans="4:28" ht="24.9" customHeight="1" x14ac:dyDescent="0.25">
      <c r="D77" s="18"/>
      <c r="F77" s="18"/>
      <c r="G77" s="41"/>
      <c r="H77" s="41"/>
      <c r="I77" s="41"/>
      <c r="J77" s="87"/>
      <c r="K77" s="87"/>
      <c r="N77" s="87"/>
      <c r="O77" s="87"/>
      <c r="P77" s="87"/>
      <c r="Q77" s="87"/>
      <c r="R77" s="87"/>
      <c r="X77" s="6"/>
      <c r="Y77" s="18"/>
      <c r="Z77" s="41"/>
      <c r="AA77" s="41"/>
      <c r="AB77" s="87"/>
    </row>
    <row r="78" spans="4:28" ht="24.9" customHeight="1" x14ac:dyDescent="0.25">
      <c r="D78" s="18"/>
      <c r="F78" s="18"/>
      <c r="G78" s="41"/>
      <c r="H78" s="41"/>
      <c r="I78" s="41"/>
      <c r="J78" s="87"/>
      <c r="K78" s="87"/>
      <c r="N78" s="87"/>
      <c r="O78" s="87"/>
      <c r="P78" s="87"/>
      <c r="Q78" s="87"/>
      <c r="R78" s="87"/>
      <c r="X78" s="6"/>
      <c r="Y78" s="18"/>
      <c r="Z78" s="41"/>
      <c r="AA78" s="41"/>
      <c r="AB78" s="87"/>
    </row>
    <row r="79" spans="4:28" ht="24.9" customHeight="1" x14ac:dyDescent="0.25">
      <c r="D79" s="18"/>
      <c r="F79" s="18"/>
      <c r="G79" s="41"/>
      <c r="H79" s="41"/>
      <c r="I79" s="41"/>
      <c r="J79" s="87"/>
      <c r="K79" s="87"/>
      <c r="N79" s="87"/>
      <c r="O79" s="87"/>
      <c r="P79" s="87"/>
      <c r="Q79" s="87"/>
      <c r="R79" s="87"/>
      <c r="X79" s="6"/>
      <c r="Y79" s="18"/>
      <c r="Z79" s="41"/>
      <c r="AA79" s="41"/>
      <c r="AB79" s="87"/>
    </row>
    <row r="80" spans="4:28" ht="24.9" customHeight="1" x14ac:dyDescent="0.25">
      <c r="D80" s="18"/>
      <c r="F80" s="18"/>
      <c r="G80" s="41"/>
      <c r="H80" s="41"/>
      <c r="I80" s="41"/>
      <c r="J80" s="87"/>
      <c r="K80" s="87"/>
      <c r="N80" s="87"/>
      <c r="O80" s="87"/>
      <c r="P80" s="87"/>
      <c r="Q80" s="87"/>
      <c r="R80" s="87"/>
      <c r="X80" s="6"/>
      <c r="Y80" s="18"/>
      <c r="Z80" s="41"/>
      <c r="AA80" s="41"/>
      <c r="AB80" s="87"/>
    </row>
    <row r="81" spans="4:28" ht="24.9" customHeight="1" x14ac:dyDescent="0.25">
      <c r="D81" s="18"/>
      <c r="F81" s="18"/>
      <c r="G81" s="41"/>
      <c r="H81" s="41"/>
      <c r="I81" s="41"/>
      <c r="J81" s="87"/>
      <c r="K81" s="87"/>
      <c r="N81" s="87"/>
      <c r="O81" s="87"/>
      <c r="P81" s="87"/>
      <c r="Q81" s="87"/>
      <c r="R81" s="87"/>
      <c r="X81" s="6"/>
      <c r="Y81" s="18"/>
      <c r="Z81" s="41"/>
      <c r="AA81" s="41"/>
      <c r="AB81" s="87"/>
    </row>
    <row r="82" spans="4:28" ht="24.9" customHeight="1" x14ac:dyDescent="0.25">
      <c r="D82" s="18"/>
      <c r="F82" s="18"/>
      <c r="G82" s="41"/>
      <c r="H82" s="41"/>
      <c r="I82" s="41"/>
      <c r="J82" s="87"/>
      <c r="K82" s="87"/>
      <c r="N82" s="87"/>
      <c r="O82" s="87"/>
      <c r="P82" s="87"/>
      <c r="Q82" s="87"/>
      <c r="R82" s="87"/>
      <c r="X82" s="6"/>
      <c r="Y82" s="18"/>
      <c r="Z82" s="41"/>
      <c r="AA82" s="41"/>
      <c r="AB82" s="87"/>
    </row>
    <row r="83" spans="4:28" ht="24.9" customHeight="1" x14ac:dyDescent="0.25">
      <c r="D83" s="18"/>
      <c r="F83" s="18"/>
      <c r="G83" s="41"/>
      <c r="H83" s="41"/>
      <c r="I83" s="41"/>
      <c r="J83" s="87"/>
      <c r="K83" s="87"/>
      <c r="N83" s="87"/>
      <c r="O83" s="87"/>
      <c r="P83" s="87"/>
      <c r="Q83" s="87"/>
      <c r="R83" s="87"/>
      <c r="X83" s="6"/>
      <c r="Y83" s="18"/>
      <c r="Z83" s="41"/>
      <c r="AA83" s="41"/>
      <c r="AB83" s="87"/>
    </row>
    <row r="84" spans="4:28" ht="24.9" customHeight="1" x14ac:dyDescent="0.25">
      <c r="D84" s="18"/>
      <c r="F84" s="18"/>
      <c r="G84" s="41"/>
      <c r="H84" s="41"/>
      <c r="I84" s="41"/>
      <c r="J84" s="87"/>
      <c r="K84" s="87"/>
      <c r="N84" s="87"/>
      <c r="O84" s="87"/>
      <c r="P84" s="87"/>
      <c r="Q84" s="87"/>
      <c r="R84" s="87"/>
      <c r="X84" s="6"/>
      <c r="Y84" s="18"/>
      <c r="Z84" s="41"/>
      <c r="AA84" s="41"/>
      <c r="AB84" s="87"/>
    </row>
    <row r="85" spans="4:28" ht="24.9" customHeight="1" x14ac:dyDescent="0.25">
      <c r="D85" s="18"/>
      <c r="F85" s="18"/>
      <c r="G85" s="41"/>
      <c r="H85" s="41"/>
      <c r="I85" s="41"/>
      <c r="J85" s="87"/>
      <c r="K85" s="87"/>
      <c r="N85" s="87"/>
      <c r="O85" s="87"/>
      <c r="P85" s="87"/>
      <c r="Q85" s="87"/>
      <c r="R85" s="87"/>
      <c r="X85" s="6"/>
      <c r="Y85" s="18"/>
      <c r="Z85" s="41"/>
      <c r="AA85" s="41"/>
      <c r="AB85" s="87"/>
    </row>
    <row r="86" spans="4:28" ht="24.9" customHeight="1" x14ac:dyDescent="0.25">
      <c r="D86" s="18"/>
      <c r="F86" s="18"/>
      <c r="G86" s="41"/>
      <c r="H86" s="41"/>
      <c r="I86" s="41"/>
      <c r="J86" s="87"/>
      <c r="K86" s="87"/>
      <c r="N86" s="87"/>
      <c r="O86" s="87"/>
      <c r="P86" s="87"/>
      <c r="Q86" s="87"/>
      <c r="R86" s="87"/>
      <c r="X86" s="6"/>
      <c r="Y86" s="18"/>
      <c r="Z86" s="41"/>
      <c r="AA86" s="41"/>
      <c r="AB86" s="87"/>
    </row>
    <row r="87" spans="4:28" ht="24.9" customHeight="1" x14ac:dyDescent="0.25">
      <c r="D87" s="18"/>
      <c r="F87" s="18"/>
      <c r="G87" s="41"/>
      <c r="H87" s="41"/>
      <c r="I87" s="41"/>
      <c r="J87" s="87"/>
      <c r="K87" s="87"/>
      <c r="N87" s="87"/>
      <c r="O87" s="87"/>
      <c r="P87" s="87"/>
      <c r="Q87" s="87"/>
      <c r="R87" s="87"/>
      <c r="X87" s="6"/>
      <c r="Y87" s="18"/>
      <c r="Z87" s="41"/>
      <c r="AA87" s="41"/>
      <c r="AB87" s="87"/>
    </row>
    <row r="88" spans="4:28" ht="24.9" customHeight="1" x14ac:dyDescent="0.25">
      <c r="D88" s="18"/>
      <c r="F88" s="18"/>
      <c r="G88" s="41"/>
      <c r="H88" s="41"/>
      <c r="I88" s="41"/>
      <c r="J88" s="87"/>
      <c r="K88" s="87"/>
      <c r="N88" s="87"/>
      <c r="O88" s="87"/>
      <c r="P88" s="87"/>
      <c r="Q88" s="87"/>
      <c r="R88" s="87"/>
      <c r="X88" s="6"/>
      <c r="Y88" s="18"/>
      <c r="Z88" s="41"/>
      <c r="AA88" s="41"/>
      <c r="AB88" s="87"/>
    </row>
    <row r="89" spans="4:28" ht="24.9" customHeight="1" x14ac:dyDescent="0.25">
      <c r="D89" s="18"/>
      <c r="F89" s="18"/>
      <c r="G89" s="41"/>
      <c r="H89" s="41"/>
      <c r="I89" s="41"/>
      <c r="J89" s="87"/>
      <c r="K89" s="87"/>
      <c r="N89" s="87"/>
      <c r="O89" s="87"/>
      <c r="P89" s="87"/>
      <c r="Q89" s="87"/>
      <c r="R89" s="87"/>
      <c r="X89" s="6"/>
      <c r="Y89" s="18"/>
      <c r="Z89" s="41"/>
      <c r="AA89" s="41"/>
      <c r="AB89" s="87"/>
    </row>
    <row r="90" spans="4:28" ht="24.9" customHeight="1" x14ac:dyDescent="0.25">
      <c r="D90" s="18"/>
      <c r="F90" s="18"/>
      <c r="G90" s="41"/>
      <c r="H90" s="41"/>
      <c r="I90" s="41"/>
      <c r="J90" s="87"/>
      <c r="K90" s="87"/>
      <c r="N90" s="87"/>
      <c r="O90" s="87"/>
      <c r="P90" s="87"/>
      <c r="Q90" s="87"/>
      <c r="R90" s="87"/>
      <c r="X90" s="6"/>
      <c r="Y90" s="18"/>
      <c r="Z90" s="41"/>
      <c r="AA90" s="41"/>
      <c r="AB90" s="87"/>
    </row>
    <row r="91" spans="4:28" ht="24.9" customHeight="1" x14ac:dyDescent="0.25">
      <c r="D91" s="18"/>
      <c r="F91" s="18"/>
      <c r="G91" s="41"/>
      <c r="H91" s="41"/>
      <c r="I91" s="41"/>
      <c r="J91" s="87"/>
      <c r="K91" s="87"/>
      <c r="N91" s="87"/>
      <c r="O91" s="87"/>
      <c r="P91" s="87"/>
      <c r="Q91" s="87"/>
      <c r="R91" s="87"/>
      <c r="X91" s="6"/>
      <c r="Y91" s="18"/>
      <c r="Z91" s="41"/>
      <c r="AA91" s="41"/>
      <c r="AB91" s="87"/>
    </row>
    <row r="92" spans="4:28" ht="24.9" customHeight="1" x14ac:dyDescent="0.25">
      <c r="D92" s="18"/>
      <c r="F92" s="18"/>
      <c r="G92" s="41"/>
      <c r="H92" s="41"/>
      <c r="I92" s="41"/>
      <c r="J92" s="87"/>
      <c r="K92" s="87"/>
      <c r="N92" s="87"/>
      <c r="O92" s="87"/>
      <c r="P92" s="87"/>
      <c r="Q92" s="87"/>
      <c r="R92" s="87"/>
      <c r="X92" s="6"/>
      <c r="Y92" s="18"/>
      <c r="Z92" s="41"/>
      <c r="AA92" s="41"/>
      <c r="AB92" s="87"/>
    </row>
    <row r="93" spans="4:28" ht="24.9" customHeight="1" x14ac:dyDescent="0.25">
      <c r="D93" s="18"/>
      <c r="F93" s="18"/>
      <c r="G93" s="41"/>
      <c r="H93" s="41"/>
      <c r="I93" s="41"/>
      <c r="J93" s="87"/>
      <c r="K93" s="87"/>
      <c r="N93" s="87"/>
      <c r="O93" s="87"/>
      <c r="P93" s="87"/>
      <c r="Q93" s="87"/>
      <c r="R93" s="87"/>
      <c r="X93" s="6"/>
      <c r="Y93" s="18"/>
      <c r="Z93" s="41"/>
      <c r="AA93" s="41"/>
      <c r="AB93" s="87"/>
    </row>
    <row r="94" spans="4:28" ht="24.9" customHeight="1" x14ac:dyDescent="0.25">
      <c r="D94" s="18"/>
      <c r="F94" s="18"/>
      <c r="G94" s="41"/>
      <c r="H94" s="41"/>
      <c r="I94" s="41"/>
      <c r="J94" s="87"/>
      <c r="K94" s="87"/>
      <c r="N94" s="87"/>
      <c r="O94" s="87"/>
      <c r="P94" s="87"/>
      <c r="Q94" s="87"/>
      <c r="R94" s="87"/>
      <c r="X94" s="6"/>
      <c r="Y94" s="18"/>
      <c r="Z94" s="41"/>
      <c r="AA94" s="41"/>
      <c r="AB94" s="87"/>
    </row>
    <row r="95" spans="4:28" ht="24.9" customHeight="1" x14ac:dyDescent="0.25">
      <c r="D95" s="18"/>
      <c r="F95" s="18"/>
      <c r="G95" s="41"/>
      <c r="H95" s="41"/>
      <c r="I95" s="41"/>
      <c r="J95" s="87"/>
      <c r="K95" s="87"/>
      <c r="N95" s="87"/>
      <c r="O95" s="87"/>
      <c r="P95" s="87"/>
      <c r="Q95" s="87"/>
      <c r="R95" s="87"/>
      <c r="X95" s="6"/>
      <c r="Y95" s="18"/>
      <c r="Z95" s="41"/>
      <c r="AA95" s="41"/>
      <c r="AB95" s="87"/>
    </row>
    <row r="96" spans="4:28" ht="24.9" customHeight="1" x14ac:dyDescent="0.25">
      <c r="D96" s="18"/>
      <c r="F96" s="18"/>
      <c r="G96" s="41"/>
      <c r="H96" s="41"/>
      <c r="I96" s="41"/>
      <c r="J96" s="87"/>
      <c r="K96" s="87"/>
      <c r="N96" s="87"/>
      <c r="O96" s="87"/>
      <c r="P96" s="87"/>
      <c r="Q96" s="87"/>
      <c r="R96" s="87"/>
      <c r="X96" s="6"/>
      <c r="Y96" s="18"/>
      <c r="Z96" s="41"/>
      <c r="AA96" s="41"/>
      <c r="AB96" s="87"/>
    </row>
    <row r="97" spans="4:28" ht="24.9" customHeight="1" x14ac:dyDescent="0.25">
      <c r="D97" s="18"/>
      <c r="F97" s="18"/>
      <c r="G97" s="41"/>
      <c r="H97" s="41"/>
      <c r="I97" s="41"/>
      <c r="J97" s="87"/>
      <c r="K97" s="87"/>
      <c r="N97" s="87"/>
      <c r="O97" s="87"/>
      <c r="P97" s="87"/>
      <c r="Q97" s="87"/>
      <c r="R97" s="87"/>
      <c r="X97" s="6"/>
      <c r="Y97" s="18"/>
      <c r="Z97" s="41"/>
      <c r="AA97" s="41"/>
      <c r="AB97" s="87"/>
    </row>
    <row r="98" spans="4:28" ht="24.9" customHeight="1" x14ac:dyDescent="0.25">
      <c r="D98" s="18"/>
      <c r="F98" s="18"/>
      <c r="G98" s="41"/>
      <c r="H98" s="41"/>
      <c r="I98" s="41"/>
      <c r="J98" s="87"/>
      <c r="K98" s="87"/>
      <c r="N98" s="87"/>
      <c r="O98" s="87"/>
      <c r="P98" s="87"/>
      <c r="Q98" s="87"/>
      <c r="R98" s="87"/>
      <c r="X98" s="6"/>
      <c r="Y98" s="18"/>
      <c r="Z98" s="41"/>
      <c r="AA98" s="41"/>
      <c r="AB98" s="87"/>
    </row>
    <row r="99" spans="4:28" ht="24.9" customHeight="1" x14ac:dyDescent="0.25">
      <c r="D99" s="18"/>
      <c r="F99" s="18"/>
      <c r="G99" s="41"/>
      <c r="H99" s="41"/>
      <c r="I99" s="41"/>
      <c r="J99" s="87"/>
      <c r="K99" s="87"/>
      <c r="N99" s="87"/>
      <c r="O99" s="87"/>
      <c r="P99" s="87"/>
      <c r="Q99" s="87"/>
      <c r="R99" s="87"/>
      <c r="X99" s="6"/>
      <c r="Y99" s="18"/>
      <c r="Z99" s="41"/>
      <c r="AA99" s="41"/>
      <c r="AB99" s="87"/>
    </row>
    <row r="100" spans="4:28" ht="24.9" customHeight="1" x14ac:dyDescent="0.25">
      <c r="D100" s="18"/>
      <c r="F100" s="18"/>
      <c r="G100" s="41"/>
      <c r="H100" s="41"/>
      <c r="I100" s="41"/>
      <c r="J100" s="87"/>
      <c r="K100" s="87"/>
      <c r="N100" s="87"/>
      <c r="O100" s="87"/>
      <c r="P100" s="87"/>
      <c r="Q100" s="87"/>
      <c r="R100" s="87"/>
      <c r="X100" s="6"/>
      <c r="Y100" s="18"/>
      <c r="Z100" s="41"/>
      <c r="AA100" s="41"/>
      <c r="AB100" s="87"/>
    </row>
    <row r="101" spans="4:28" ht="24.9" customHeight="1" x14ac:dyDescent="0.25">
      <c r="D101" s="18"/>
      <c r="F101" s="18"/>
      <c r="G101" s="41"/>
      <c r="H101" s="41"/>
      <c r="I101" s="41"/>
      <c r="J101" s="87"/>
      <c r="K101" s="87"/>
      <c r="N101" s="87"/>
      <c r="O101" s="87"/>
      <c r="P101" s="87"/>
      <c r="Q101" s="87"/>
      <c r="R101" s="87"/>
      <c r="X101" s="6"/>
      <c r="Y101" s="18"/>
      <c r="Z101" s="41"/>
      <c r="AA101" s="41"/>
      <c r="AB101" s="87"/>
    </row>
    <row r="102" spans="4:28" ht="24.9" customHeight="1" x14ac:dyDescent="0.25">
      <c r="D102" s="18"/>
      <c r="F102" s="18"/>
      <c r="G102" s="41"/>
      <c r="H102" s="41"/>
      <c r="I102" s="41"/>
      <c r="J102" s="87"/>
      <c r="K102" s="87"/>
      <c r="N102" s="87"/>
      <c r="O102" s="87"/>
      <c r="P102" s="87"/>
      <c r="Q102" s="87"/>
      <c r="R102" s="87"/>
      <c r="X102" s="6"/>
      <c r="Y102" s="18"/>
      <c r="Z102" s="41"/>
      <c r="AA102" s="41"/>
      <c r="AB102" s="87"/>
    </row>
    <row r="103" spans="4:28" ht="24.9" customHeight="1" x14ac:dyDescent="0.25">
      <c r="D103" s="18"/>
      <c r="F103" s="18"/>
      <c r="G103" s="41"/>
      <c r="H103" s="41"/>
      <c r="I103" s="41"/>
      <c r="J103" s="87"/>
      <c r="K103" s="87"/>
      <c r="N103" s="87"/>
      <c r="O103" s="87"/>
      <c r="P103" s="87"/>
      <c r="Q103" s="87"/>
      <c r="R103" s="87"/>
      <c r="X103" s="6"/>
      <c r="Y103" s="18"/>
      <c r="Z103" s="41"/>
      <c r="AA103" s="41"/>
      <c r="AB103" s="87"/>
    </row>
    <row r="104" spans="4:28" ht="24.9" customHeight="1" x14ac:dyDescent="0.25">
      <c r="D104" s="18"/>
      <c r="F104" s="18"/>
      <c r="G104" s="41"/>
      <c r="H104" s="41"/>
      <c r="I104" s="41"/>
      <c r="J104" s="87"/>
      <c r="K104" s="87"/>
      <c r="N104" s="87"/>
      <c r="O104" s="87"/>
      <c r="P104" s="87"/>
      <c r="Q104" s="87"/>
      <c r="R104" s="87"/>
      <c r="X104" s="6"/>
      <c r="Y104" s="18"/>
      <c r="Z104" s="41"/>
      <c r="AA104" s="41"/>
      <c r="AB104" s="87"/>
    </row>
    <row r="105" spans="4:28" ht="24.9" customHeight="1" x14ac:dyDescent="0.25">
      <c r="D105" s="18"/>
      <c r="F105" s="18"/>
      <c r="G105" s="41"/>
      <c r="H105" s="41"/>
      <c r="I105" s="41"/>
      <c r="J105" s="87"/>
      <c r="K105" s="87"/>
      <c r="N105" s="87"/>
      <c r="O105" s="87"/>
      <c r="P105" s="87"/>
      <c r="Q105" s="87"/>
      <c r="R105" s="87"/>
      <c r="X105" s="6"/>
      <c r="Y105" s="18"/>
      <c r="Z105" s="41"/>
      <c r="AA105" s="41"/>
      <c r="AB105" s="87"/>
    </row>
    <row r="106" spans="4:28" ht="24.9" customHeight="1" x14ac:dyDescent="0.25">
      <c r="D106" s="18"/>
      <c r="F106" s="18"/>
      <c r="G106" s="41"/>
      <c r="H106" s="41"/>
      <c r="I106" s="41"/>
      <c r="J106" s="87"/>
      <c r="K106" s="87"/>
      <c r="N106" s="87"/>
      <c r="O106" s="87"/>
      <c r="P106" s="87"/>
      <c r="Q106" s="87"/>
      <c r="R106" s="87"/>
      <c r="X106" s="6"/>
      <c r="Y106" s="18"/>
      <c r="Z106" s="41"/>
      <c r="AA106" s="41"/>
      <c r="AB106" s="87"/>
    </row>
    <row r="107" spans="4:28" ht="24.9" customHeight="1" x14ac:dyDescent="0.25">
      <c r="D107" s="18"/>
      <c r="F107" s="18"/>
      <c r="G107" s="41"/>
      <c r="H107" s="41"/>
      <c r="I107" s="41"/>
      <c r="J107" s="87"/>
      <c r="K107" s="87"/>
      <c r="N107" s="87"/>
      <c r="O107" s="87"/>
      <c r="P107" s="87"/>
      <c r="Q107" s="87"/>
      <c r="R107" s="87"/>
      <c r="X107" s="6"/>
      <c r="Y107" s="18"/>
      <c r="Z107" s="41"/>
      <c r="AA107" s="41"/>
      <c r="AB107" s="87"/>
    </row>
    <row r="108" spans="4:28" ht="24.9" customHeight="1" x14ac:dyDescent="0.25">
      <c r="D108" s="18"/>
      <c r="F108" s="18"/>
      <c r="G108" s="41"/>
      <c r="H108" s="41"/>
      <c r="I108" s="41"/>
      <c r="J108" s="87"/>
      <c r="K108" s="87"/>
      <c r="N108" s="87"/>
      <c r="O108" s="87"/>
      <c r="P108" s="87"/>
      <c r="Q108" s="87"/>
      <c r="R108" s="87"/>
      <c r="X108" s="6"/>
      <c r="Y108" s="18"/>
      <c r="Z108" s="41"/>
      <c r="AA108" s="41"/>
      <c r="AB108" s="87"/>
    </row>
    <row r="109" spans="4:28" ht="24.9" customHeight="1" x14ac:dyDescent="0.25">
      <c r="D109" s="18"/>
      <c r="F109" s="18"/>
      <c r="G109" s="41"/>
      <c r="H109" s="41"/>
      <c r="I109" s="41"/>
      <c r="J109" s="87"/>
      <c r="K109" s="87"/>
      <c r="N109" s="87"/>
      <c r="O109" s="87"/>
      <c r="P109" s="87"/>
      <c r="Q109" s="87"/>
      <c r="R109" s="87"/>
      <c r="X109" s="6"/>
      <c r="Y109" s="18"/>
      <c r="Z109" s="41"/>
      <c r="AA109" s="41"/>
      <c r="AB109" s="87"/>
    </row>
    <row r="110" spans="4:28" ht="24.9" customHeight="1" x14ac:dyDescent="0.25">
      <c r="D110" s="18"/>
      <c r="F110" s="18"/>
      <c r="G110" s="41"/>
      <c r="H110" s="41"/>
      <c r="I110" s="41"/>
      <c r="J110" s="87"/>
      <c r="K110" s="87"/>
      <c r="N110" s="87"/>
      <c r="O110" s="87"/>
      <c r="P110" s="87"/>
      <c r="Q110" s="87"/>
      <c r="R110" s="87"/>
      <c r="X110" s="6"/>
      <c r="Y110" s="18"/>
      <c r="Z110" s="41"/>
      <c r="AA110" s="41"/>
      <c r="AB110" s="87"/>
    </row>
    <row r="111" spans="4:28" ht="24.9" customHeight="1" x14ac:dyDescent="0.25">
      <c r="D111" s="18"/>
      <c r="F111" s="18"/>
      <c r="G111" s="41"/>
      <c r="H111" s="41"/>
      <c r="I111" s="41"/>
      <c r="J111" s="87"/>
      <c r="K111" s="87"/>
      <c r="N111" s="87"/>
      <c r="O111" s="87"/>
      <c r="P111" s="87"/>
      <c r="Q111" s="87"/>
      <c r="R111" s="87"/>
      <c r="X111" s="6"/>
      <c r="Y111" s="18"/>
      <c r="Z111" s="41"/>
      <c r="AA111" s="41"/>
      <c r="AB111" s="87"/>
    </row>
    <row r="112" spans="4:28" ht="24.9" customHeight="1" x14ac:dyDescent="0.25">
      <c r="D112" s="18"/>
      <c r="F112" s="18"/>
      <c r="G112" s="41"/>
      <c r="H112" s="41"/>
      <c r="I112" s="41"/>
      <c r="J112" s="87"/>
      <c r="K112" s="87"/>
      <c r="N112" s="87"/>
      <c r="O112" s="87"/>
      <c r="P112" s="87"/>
      <c r="Q112" s="87"/>
      <c r="R112" s="87"/>
      <c r="X112" s="6"/>
      <c r="Y112" s="18"/>
      <c r="Z112" s="41"/>
      <c r="AA112" s="41"/>
      <c r="AB112" s="87"/>
    </row>
    <row r="113" spans="4:28" ht="24.9" customHeight="1" x14ac:dyDescent="0.25">
      <c r="D113" s="18"/>
      <c r="F113" s="18"/>
      <c r="G113" s="41"/>
      <c r="H113" s="41"/>
      <c r="I113" s="41"/>
      <c r="J113" s="87"/>
      <c r="K113" s="87"/>
      <c r="N113" s="87"/>
      <c r="O113" s="87"/>
      <c r="P113" s="87"/>
      <c r="Q113" s="87"/>
      <c r="R113" s="87"/>
      <c r="X113" s="6"/>
      <c r="Y113" s="18"/>
      <c r="Z113" s="41"/>
      <c r="AA113" s="41"/>
      <c r="AB113" s="87"/>
    </row>
    <row r="114" spans="4:28" ht="24.9" customHeight="1" x14ac:dyDescent="0.25">
      <c r="D114" s="18"/>
      <c r="F114" s="18"/>
      <c r="G114" s="41"/>
      <c r="H114" s="41"/>
      <c r="I114" s="41"/>
      <c r="J114" s="87"/>
      <c r="K114" s="87"/>
      <c r="N114" s="87"/>
      <c r="O114" s="87"/>
      <c r="P114" s="87"/>
      <c r="Q114" s="87"/>
      <c r="R114" s="87"/>
      <c r="X114" s="6"/>
      <c r="Y114" s="18"/>
      <c r="Z114" s="41"/>
      <c r="AA114" s="41"/>
      <c r="AB114" s="87"/>
    </row>
    <row r="115" spans="4:28" ht="24.9" customHeight="1" x14ac:dyDescent="0.25">
      <c r="D115" s="18"/>
      <c r="F115" s="18"/>
      <c r="G115" s="41"/>
      <c r="H115" s="41"/>
      <c r="I115" s="41"/>
      <c r="J115" s="87"/>
      <c r="K115" s="87"/>
      <c r="N115" s="87"/>
      <c r="O115" s="87"/>
      <c r="P115" s="87"/>
      <c r="Q115" s="87"/>
      <c r="R115" s="87"/>
      <c r="X115" s="6"/>
      <c r="Y115" s="18"/>
      <c r="Z115" s="41"/>
      <c r="AA115" s="41"/>
      <c r="AB115" s="87"/>
    </row>
    <row r="116" spans="4:28" ht="24.9" customHeight="1" x14ac:dyDescent="0.25">
      <c r="D116" s="18"/>
      <c r="F116" s="18"/>
      <c r="G116" s="41"/>
      <c r="H116" s="41"/>
      <c r="I116" s="41"/>
      <c r="J116" s="87"/>
      <c r="K116" s="87"/>
      <c r="N116" s="87"/>
      <c r="O116" s="87"/>
      <c r="P116" s="87"/>
      <c r="Q116" s="87"/>
      <c r="R116" s="87"/>
      <c r="X116" s="6"/>
      <c r="Y116" s="18"/>
      <c r="Z116" s="41"/>
      <c r="AA116" s="41"/>
      <c r="AB116" s="87"/>
    </row>
    <row r="117" spans="4:28" ht="24.9" customHeight="1" x14ac:dyDescent="0.25">
      <c r="D117" s="18"/>
      <c r="F117" s="18"/>
      <c r="G117" s="41"/>
      <c r="H117" s="41"/>
      <c r="I117" s="41"/>
      <c r="J117" s="87"/>
      <c r="K117" s="87"/>
      <c r="N117" s="87"/>
      <c r="O117" s="87"/>
      <c r="P117" s="87"/>
      <c r="Q117" s="87"/>
      <c r="R117" s="87"/>
      <c r="X117" s="6"/>
      <c r="Y117" s="18"/>
      <c r="Z117" s="41"/>
      <c r="AA117" s="41"/>
      <c r="AB117" s="87"/>
    </row>
    <row r="118" spans="4:28" ht="24.9" customHeight="1" x14ac:dyDescent="0.25">
      <c r="D118" s="18"/>
      <c r="F118" s="18"/>
      <c r="G118" s="41"/>
      <c r="H118" s="41"/>
      <c r="I118" s="41"/>
      <c r="J118" s="87"/>
      <c r="K118" s="87"/>
      <c r="N118" s="87"/>
      <c r="O118" s="87"/>
      <c r="P118" s="87"/>
      <c r="Q118" s="87"/>
      <c r="R118" s="87"/>
      <c r="X118" s="6"/>
      <c r="Y118" s="18"/>
      <c r="Z118" s="41"/>
      <c r="AA118" s="41"/>
      <c r="AB118" s="87"/>
    </row>
    <row r="119" spans="4:28" ht="24.9" customHeight="1" x14ac:dyDescent="0.25">
      <c r="D119" s="18"/>
      <c r="F119" s="18"/>
      <c r="G119" s="41"/>
      <c r="H119" s="41"/>
      <c r="I119" s="41"/>
      <c r="J119" s="87"/>
      <c r="K119" s="87"/>
      <c r="N119" s="87"/>
      <c r="O119" s="87"/>
      <c r="P119" s="87"/>
      <c r="Q119" s="87"/>
      <c r="R119" s="87"/>
      <c r="X119" s="6"/>
      <c r="Y119" s="18"/>
      <c r="Z119" s="41"/>
      <c r="AA119" s="41"/>
      <c r="AB119" s="87"/>
    </row>
    <row r="120" spans="4:28" ht="24.9" customHeight="1" x14ac:dyDescent="0.25">
      <c r="D120" s="18"/>
      <c r="F120" s="18"/>
      <c r="G120" s="41"/>
      <c r="H120" s="41"/>
      <c r="I120" s="41"/>
      <c r="J120" s="87"/>
      <c r="K120" s="87"/>
      <c r="N120" s="87"/>
      <c r="O120" s="87"/>
      <c r="P120" s="87"/>
      <c r="Q120" s="87"/>
      <c r="R120" s="87"/>
      <c r="X120" s="6"/>
      <c r="Y120" s="18"/>
      <c r="Z120" s="41"/>
      <c r="AA120" s="41"/>
      <c r="AB120" s="87"/>
    </row>
    <row r="121" spans="4:28" ht="24.9" customHeight="1" x14ac:dyDescent="0.25">
      <c r="D121" s="18"/>
      <c r="F121" s="18"/>
      <c r="G121" s="41"/>
      <c r="H121" s="41"/>
      <c r="I121" s="41"/>
      <c r="J121" s="87"/>
      <c r="K121" s="87"/>
      <c r="N121" s="87"/>
      <c r="O121" s="87"/>
      <c r="P121" s="87"/>
      <c r="Q121" s="87"/>
      <c r="R121" s="87"/>
      <c r="X121" s="6"/>
      <c r="Y121" s="18"/>
      <c r="Z121" s="41"/>
      <c r="AA121" s="41"/>
      <c r="AB121" s="87"/>
    </row>
    <row r="122" spans="4:28" ht="24.9" customHeight="1" x14ac:dyDescent="0.25">
      <c r="D122" s="18"/>
      <c r="F122" s="18"/>
      <c r="G122" s="41"/>
      <c r="H122" s="41"/>
      <c r="I122" s="41"/>
      <c r="J122" s="87"/>
      <c r="K122" s="87"/>
      <c r="N122" s="87"/>
      <c r="O122" s="87"/>
      <c r="P122" s="87"/>
      <c r="Q122" s="87"/>
      <c r="R122" s="87"/>
      <c r="X122" s="6"/>
      <c r="Y122" s="18"/>
      <c r="Z122" s="41"/>
      <c r="AA122" s="41"/>
      <c r="AB122" s="87"/>
    </row>
    <row r="123" spans="4:28" ht="24.9" customHeight="1" x14ac:dyDescent="0.25">
      <c r="D123" s="18"/>
      <c r="F123" s="18"/>
      <c r="G123" s="41"/>
      <c r="H123" s="41"/>
      <c r="I123" s="41"/>
      <c r="J123" s="87"/>
      <c r="K123" s="87"/>
      <c r="N123" s="87"/>
      <c r="O123" s="87"/>
      <c r="P123" s="87"/>
      <c r="Q123" s="87"/>
      <c r="R123" s="87"/>
      <c r="X123" s="6"/>
      <c r="Y123" s="18"/>
      <c r="Z123" s="41"/>
      <c r="AA123" s="41"/>
      <c r="AB123" s="87"/>
    </row>
    <row r="124" spans="4:28" ht="24.9" customHeight="1" x14ac:dyDescent="0.25">
      <c r="D124" s="18"/>
      <c r="F124" s="18"/>
      <c r="G124" s="41"/>
      <c r="H124" s="41"/>
      <c r="I124" s="41"/>
      <c r="J124" s="87"/>
      <c r="K124" s="87"/>
      <c r="N124" s="87"/>
      <c r="O124" s="87"/>
      <c r="P124" s="87"/>
      <c r="Q124" s="87"/>
      <c r="R124" s="87"/>
      <c r="X124" s="6"/>
      <c r="Y124" s="18"/>
      <c r="Z124" s="41"/>
      <c r="AA124" s="41"/>
      <c r="AB124" s="87"/>
    </row>
    <row r="125" spans="4:28" ht="24.9" customHeight="1" x14ac:dyDescent="0.25">
      <c r="D125" s="18"/>
      <c r="F125" s="18"/>
      <c r="G125" s="41"/>
      <c r="H125" s="41"/>
      <c r="I125" s="41"/>
      <c r="J125" s="87"/>
      <c r="K125" s="87"/>
      <c r="N125" s="87"/>
      <c r="O125" s="87"/>
      <c r="P125" s="87"/>
      <c r="Q125" s="87"/>
      <c r="R125" s="87"/>
      <c r="X125" s="6"/>
      <c r="Y125" s="18"/>
      <c r="Z125" s="41"/>
      <c r="AA125" s="41"/>
      <c r="AB125" s="87"/>
    </row>
    <row r="126" spans="4:28" ht="24.9" customHeight="1" x14ac:dyDescent="0.25">
      <c r="D126" s="18"/>
      <c r="F126" s="18"/>
      <c r="G126" s="41"/>
      <c r="H126" s="41"/>
      <c r="I126" s="41"/>
      <c r="J126" s="87"/>
      <c r="K126" s="87"/>
      <c r="N126" s="87"/>
      <c r="O126" s="87"/>
      <c r="P126" s="87"/>
      <c r="Q126" s="87"/>
      <c r="R126" s="87"/>
      <c r="X126" s="6"/>
      <c r="Y126" s="18"/>
      <c r="Z126" s="41"/>
      <c r="AA126" s="41"/>
      <c r="AB126" s="87"/>
    </row>
    <row r="127" spans="4:28" ht="24.9" customHeight="1" x14ac:dyDescent="0.25">
      <c r="D127" s="18"/>
      <c r="F127" s="18"/>
      <c r="G127" s="41"/>
      <c r="H127" s="41"/>
      <c r="I127" s="41"/>
      <c r="J127" s="87"/>
      <c r="K127" s="87"/>
      <c r="N127" s="87"/>
      <c r="O127" s="87"/>
      <c r="P127" s="87"/>
      <c r="Q127" s="87"/>
      <c r="R127" s="87"/>
      <c r="X127" s="6"/>
      <c r="Y127" s="18"/>
      <c r="Z127" s="41"/>
      <c r="AA127" s="41"/>
      <c r="AB127" s="87"/>
    </row>
    <row r="128" spans="4:28" ht="24.9" customHeight="1" x14ac:dyDescent="0.25">
      <c r="D128" s="18"/>
      <c r="F128" s="18"/>
      <c r="G128" s="41"/>
      <c r="H128" s="41"/>
      <c r="I128" s="41"/>
      <c r="J128" s="87"/>
      <c r="K128" s="87"/>
      <c r="N128" s="87"/>
      <c r="O128" s="87"/>
      <c r="P128" s="87"/>
      <c r="Q128" s="87"/>
      <c r="R128" s="87"/>
      <c r="X128" s="6"/>
      <c r="Y128" s="18"/>
      <c r="Z128" s="41"/>
      <c r="AA128" s="41"/>
      <c r="AB128" s="87"/>
    </row>
    <row r="129" spans="4:28" ht="24.9" customHeight="1" x14ac:dyDescent="0.25">
      <c r="D129" s="18"/>
      <c r="F129" s="18"/>
      <c r="G129" s="41"/>
      <c r="H129" s="41"/>
      <c r="I129" s="41"/>
      <c r="J129" s="87"/>
      <c r="K129" s="87"/>
      <c r="N129" s="87"/>
      <c r="O129" s="87"/>
      <c r="P129" s="87"/>
      <c r="Q129" s="87"/>
      <c r="R129" s="87"/>
      <c r="X129" s="6"/>
      <c r="Y129" s="18"/>
      <c r="Z129" s="41"/>
      <c r="AA129" s="41"/>
      <c r="AB129" s="87"/>
    </row>
    <row r="130" spans="4:28" ht="24.9" customHeight="1" x14ac:dyDescent="0.25">
      <c r="D130" s="18"/>
      <c r="F130" s="18"/>
      <c r="G130" s="41"/>
      <c r="H130" s="41"/>
      <c r="I130" s="41"/>
      <c r="J130" s="87"/>
      <c r="K130" s="87"/>
      <c r="N130" s="87"/>
      <c r="O130" s="87"/>
      <c r="P130" s="87"/>
      <c r="Q130" s="87"/>
      <c r="R130" s="87"/>
      <c r="X130" s="6"/>
      <c r="Y130" s="18"/>
      <c r="Z130" s="41"/>
      <c r="AA130" s="41"/>
      <c r="AB130" s="87"/>
    </row>
    <row r="131" spans="4:28" ht="24.9" customHeight="1" x14ac:dyDescent="0.25">
      <c r="D131" s="18"/>
      <c r="F131" s="18"/>
      <c r="G131" s="41"/>
      <c r="H131" s="41"/>
      <c r="I131" s="41"/>
      <c r="J131" s="87"/>
      <c r="K131" s="87"/>
      <c r="N131" s="87"/>
      <c r="O131" s="87"/>
      <c r="P131" s="87"/>
      <c r="Q131" s="87"/>
      <c r="R131" s="87"/>
      <c r="X131" s="6"/>
      <c r="Y131" s="18"/>
      <c r="Z131" s="41"/>
      <c r="AA131" s="41"/>
      <c r="AB131" s="87"/>
    </row>
    <row r="132" spans="4:28" ht="24.9" customHeight="1" x14ac:dyDescent="0.25">
      <c r="D132" s="18"/>
      <c r="F132" s="18"/>
      <c r="G132" s="41"/>
      <c r="H132" s="41"/>
      <c r="I132" s="41"/>
      <c r="J132" s="87"/>
      <c r="K132" s="87"/>
      <c r="N132" s="87"/>
      <c r="O132" s="87"/>
      <c r="P132" s="87"/>
      <c r="Q132" s="87"/>
      <c r="R132" s="87"/>
      <c r="X132" s="6"/>
      <c r="Y132" s="18"/>
      <c r="Z132" s="41"/>
      <c r="AA132" s="41"/>
      <c r="AB132" s="87"/>
    </row>
    <row r="133" spans="4:28" ht="24.9" customHeight="1" x14ac:dyDescent="0.25">
      <c r="D133" s="18"/>
      <c r="F133" s="18"/>
      <c r="G133" s="41"/>
      <c r="H133" s="41"/>
      <c r="I133" s="41"/>
      <c r="J133" s="87"/>
      <c r="K133" s="87"/>
      <c r="N133" s="87"/>
      <c r="O133" s="87"/>
      <c r="P133" s="87"/>
      <c r="Q133" s="87"/>
      <c r="R133" s="87"/>
      <c r="X133" s="6"/>
      <c r="Y133" s="18"/>
      <c r="Z133" s="41"/>
      <c r="AA133" s="41"/>
      <c r="AB133" s="87"/>
    </row>
    <row r="134" spans="4:28" ht="24.9" customHeight="1" x14ac:dyDescent="0.25">
      <c r="D134" s="18"/>
      <c r="F134" s="18"/>
      <c r="G134" s="41"/>
      <c r="H134" s="41"/>
      <c r="I134" s="41"/>
      <c r="J134" s="87"/>
      <c r="K134" s="87"/>
      <c r="N134" s="87"/>
      <c r="O134" s="87"/>
      <c r="P134" s="87"/>
      <c r="Q134" s="87"/>
      <c r="R134" s="87"/>
      <c r="X134" s="6"/>
      <c r="Y134" s="18"/>
      <c r="Z134" s="41"/>
      <c r="AA134" s="41"/>
      <c r="AB134" s="87"/>
    </row>
    <row r="135" spans="4:28" ht="24.9" customHeight="1" x14ac:dyDescent="0.25">
      <c r="D135" s="18"/>
      <c r="F135" s="18"/>
      <c r="G135" s="41"/>
      <c r="H135" s="41"/>
      <c r="I135" s="41"/>
      <c r="J135" s="87"/>
      <c r="K135" s="87"/>
      <c r="N135" s="87"/>
      <c r="O135" s="87"/>
      <c r="P135" s="87"/>
      <c r="Q135" s="87"/>
      <c r="R135" s="87"/>
      <c r="X135" s="6"/>
      <c r="Y135" s="18"/>
      <c r="Z135" s="41"/>
      <c r="AA135" s="41"/>
      <c r="AB135" s="87"/>
    </row>
    <row r="136" spans="4:28" ht="24.9" customHeight="1" x14ac:dyDescent="0.25">
      <c r="D136" s="18"/>
      <c r="F136" s="18"/>
      <c r="G136" s="41"/>
      <c r="H136" s="41"/>
      <c r="I136" s="41"/>
      <c r="J136" s="87"/>
      <c r="K136" s="87"/>
      <c r="N136" s="87"/>
      <c r="O136" s="87"/>
      <c r="P136" s="87"/>
      <c r="Q136" s="87"/>
      <c r="R136" s="87"/>
      <c r="X136" s="6"/>
      <c r="Y136" s="18"/>
      <c r="Z136" s="41"/>
      <c r="AA136" s="41"/>
      <c r="AB136" s="87"/>
    </row>
    <row r="137" spans="4:28" ht="24.9" customHeight="1" x14ac:dyDescent="0.25">
      <c r="D137" s="18"/>
      <c r="F137" s="18"/>
      <c r="G137" s="41"/>
      <c r="H137" s="41"/>
      <c r="I137" s="41"/>
      <c r="J137" s="87"/>
      <c r="K137" s="87"/>
      <c r="N137" s="87"/>
      <c r="O137" s="87"/>
      <c r="P137" s="87"/>
      <c r="Q137" s="87"/>
      <c r="R137" s="87"/>
      <c r="X137" s="6"/>
      <c r="Y137" s="18"/>
      <c r="Z137" s="41"/>
      <c r="AA137" s="41"/>
      <c r="AB137" s="87"/>
    </row>
    <row r="138" spans="4:28" ht="24.9" customHeight="1" x14ac:dyDescent="0.25">
      <c r="D138" s="18"/>
      <c r="F138" s="18"/>
      <c r="G138" s="41"/>
      <c r="H138" s="41"/>
      <c r="I138" s="41"/>
      <c r="J138" s="87"/>
      <c r="K138" s="87"/>
      <c r="N138" s="87"/>
      <c r="O138" s="87"/>
      <c r="P138" s="87"/>
      <c r="Q138" s="87"/>
      <c r="R138" s="87"/>
      <c r="X138" s="6"/>
      <c r="Y138" s="18"/>
      <c r="Z138" s="41"/>
      <c r="AA138" s="41"/>
      <c r="AB138" s="87"/>
    </row>
    <row r="139" spans="4:28" ht="24.9" customHeight="1" x14ac:dyDescent="0.25">
      <c r="D139" s="18"/>
      <c r="F139" s="18"/>
      <c r="G139" s="41"/>
      <c r="H139" s="41"/>
      <c r="I139" s="41"/>
      <c r="J139" s="87"/>
      <c r="K139" s="87"/>
      <c r="N139" s="87"/>
      <c r="O139" s="87"/>
      <c r="P139" s="87"/>
      <c r="Q139" s="87"/>
      <c r="R139" s="87"/>
      <c r="X139" s="6"/>
      <c r="Y139" s="18"/>
      <c r="Z139" s="41"/>
      <c r="AA139" s="41"/>
      <c r="AB139" s="87"/>
    </row>
    <row r="140" spans="4:28" ht="24.9" customHeight="1" x14ac:dyDescent="0.25">
      <c r="D140" s="18"/>
      <c r="F140" s="18"/>
      <c r="G140" s="41"/>
      <c r="H140" s="41"/>
      <c r="I140" s="41"/>
      <c r="J140" s="87"/>
      <c r="K140" s="87"/>
      <c r="N140" s="87"/>
      <c r="O140" s="87"/>
      <c r="P140" s="87"/>
      <c r="Q140" s="87"/>
      <c r="R140" s="87"/>
      <c r="X140" s="6"/>
      <c r="Y140" s="18"/>
      <c r="Z140" s="41"/>
      <c r="AA140" s="41"/>
      <c r="AB140" s="87"/>
    </row>
    <row r="141" spans="4:28" ht="24.9" customHeight="1" x14ac:dyDescent="0.25">
      <c r="D141" s="18"/>
      <c r="F141" s="18"/>
      <c r="G141" s="41"/>
      <c r="H141" s="41"/>
      <c r="I141" s="41"/>
      <c r="J141" s="87"/>
      <c r="K141" s="87"/>
      <c r="N141" s="87"/>
      <c r="O141" s="87"/>
      <c r="P141" s="87"/>
      <c r="Q141" s="87"/>
      <c r="R141" s="87"/>
      <c r="X141" s="6"/>
      <c r="Y141" s="18"/>
      <c r="Z141" s="41"/>
      <c r="AA141" s="41"/>
      <c r="AB141" s="87"/>
    </row>
  </sheetData>
  <dataConsolidate/>
  <customSheetViews>
    <customSheetView guid="{2475EF64-AF17-4A2D-9C44-7B84D6678F02}" scale="90" showPageBreaks="1" fitToPage="1" printArea="1" hiddenRows="1" hiddenColumns="1" topLeftCell="A13">
      <pane xSplit="6" topLeftCell="AB1" activePane="topRight" state="frozen"/>
      <selection pane="topRight" activeCell="AN17" sqref="AN17"/>
      <pageMargins left="0.25" right="0.16" top="0.4" bottom="0.23" header="0.3" footer="0.16"/>
      <printOptions horizontalCentered="1"/>
      <pageSetup paperSize="5" scale="33" fitToHeight="15" orientation="landscape" r:id="rId1"/>
    </customSheetView>
  </customSheetViews>
  <mergeCells count="32">
    <mergeCell ref="A1:AB1"/>
    <mergeCell ref="A3:B3"/>
    <mergeCell ref="I8:I10"/>
    <mergeCell ref="W8:W10"/>
    <mergeCell ref="X8:X10"/>
    <mergeCell ref="H8:H10"/>
    <mergeCell ref="A4:B4"/>
    <mergeCell ref="R8:R10"/>
    <mergeCell ref="S8:S10"/>
    <mergeCell ref="A2:AB2"/>
    <mergeCell ref="A6:AB6"/>
    <mergeCell ref="J8:J10"/>
    <mergeCell ref="G8:G10"/>
    <mergeCell ref="F7:F10"/>
    <mergeCell ref="AA8:AA10"/>
    <mergeCell ref="Y8:Y10"/>
    <mergeCell ref="A5:AB5"/>
    <mergeCell ref="T7:AB7"/>
    <mergeCell ref="M8:N9"/>
    <mergeCell ref="V8:V10"/>
    <mergeCell ref="AB8:AB10"/>
    <mergeCell ref="Z8:Z10"/>
    <mergeCell ref="A7:A10"/>
    <mergeCell ref="B7:B10"/>
    <mergeCell ref="K8:L9"/>
    <mergeCell ref="C7:C10"/>
    <mergeCell ref="D7:D10"/>
    <mergeCell ref="E7:E10"/>
    <mergeCell ref="Q8:Q10"/>
    <mergeCell ref="P8:P10"/>
    <mergeCell ref="T8:U9"/>
    <mergeCell ref="G7:S7"/>
  </mergeCells>
  <phoneticPr fontId="18" type="noConversion"/>
  <conditionalFormatting sqref="B13:B14">
    <cfRule type="duplicateValues" dxfId="1" priority="9176"/>
  </conditionalFormatting>
  <dataValidations count="1">
    <dataValidation type="list" allowBlank="1" showInputMessage="1" showErrorMessage="1" sqref="D13:D14 I1:I6 I8:I11 I13:I1048576" xr:uid="{A752EB4C-B8E3-4F2E-A72E-C290B45A71D9}">
      <formula1>#REF!</formula1>
    </dataValidation>
  </dataValidations>
  <printOptions horizontalCentered="1"/>
  <pageMargins left="0.2" right="0.18" top="0.23" bottom="0.27" header="0.2" footer="0.16"/>
  <pageSetup paperSize="5" scale="33" fitToHeight="15" orientation="landscape" r:id="rId2"/>
  <headerFooter>
    <oddFooter>&amp;C&amp;P</oddFooter>
  </headerFooter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  <pageSetUpPr fitToPage="1"/>
  </sheetPr>
  <dimension ref="A1:W1017"/>
  <sheetViews>
    <sheetView zoomScale="90" zoomScaleNormal="90" workbookViewId="0">
      <selection activeCell="M14" sqref="M14"/>
    </sheetView>
  </sheetViews>
  <sheetFormatPr defaultColWidth="6.88671875" defaultRowHeight="26.1" customHeight="1" x14ac:dyDescent="0.25"/>
  <cols>
    <col min="1" max="1" width="7.5546875" style="18" customWidth="1"/>
    <col min="2" max="2" width="31.6640625" style="41" bestFit="1" customWidth="1"/>
    <col min="3" max="3" width="28.109375" style="41" customWidth="1"/>
    <col min="4" max="4" width="21.6640625" style="73" bestFit="1" customWidth="1"/>
    <col min="5" max="5" width="25.88671875" style="42" bestFit="1" customWidth="1"/>
    <col min="6" max="6" width="11.5546875" style="56" customWidth="1"/>
    <col min="7" max="7" width="21.6640625" style="41" customWidth="1"/>
    <col min="8" max="8" width="10.6640625" style="86" customWidth="1"/>
    <col min="9" max="9" width="16.33203125" style="82" bestFit="1" customWidth="1"/>
    <col min="10" max="10" width="12" style="82" bestFit="1" customWidth="1"/>
    <col min="11" max="11" width="15.88671875" style="73" bestFit="1" customWidth="1"/>
    <col min="12" max="12" width="25.88671875" style="82" customWidth="1"/>
    <col min="13" max="13" width="18.5546875" style="87" bestFit="1" customWidth="1"/>
    <col min="14" max="14" width="27.5546875" style="41" bestFit="1" customWidth="1"/>
    <col min="15" max="16" width="15.5546875" style="41" bestFit="1" customWidth="1"/>
    <col min="17" max="17" width="21.5546875" style="41" customWidth="1"/>
    <col min="18" max="18" width="19.33203125" style="41" customWidth="1"/>
    <col min="19" max="19" width="21.6640625" style="2" customWidth="1"/>
    <col min="20" max="20" width="16.5546875" style="42" customWidth="1"/>
    <col min="21" max="21" width="21.33203125" style="42" bestFit="1" customWidth="1"/>
    <col min="22" max="22" width="19.109375" style="42" customWidth="1"/>
    <col min="23" max="23" width="20.33203125" style="42" customWidth="1"/>
    <col min="24" max="16384" width="6.88671875" style="41"/>
  </cols>
  <sheetData>
    <row r="1" spans="1:23" s="42" customFormat="1" ht="26.1" customHeight="1" x14ac:dyDescent="0.25">
      <c r="A1" s="349" t="s">
        <v>30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</row>
    <row r="2" spans="1:23" s="42" customFormat="1" ht="26.1" customHeight="1" x14ac:dyDescent="0.25">
      <c r="A2" s="349" t="s">
        <v>31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</row>
    <row r="3" spans="1:23" s="42" customFormat="1" ht="26.1" customHeight="1" x14ac:dyDescent="0.25">
      <c r="A3" s="380" t="s">
        <v>32</v>
      </c>
      <c r="B3" s="380"/>
      <c r="C3" s="10"/>
      <c r="D3" s="10"/>
      <c r="E3" s="10"/>
      <c r="F3" s="101"/>
      <c r="G3" s="10"/>
      <c r="H3" s="100"/>
      <c r="I3" s="10"/>
      <c r="J3" s="10"/>
      <c r="K3" s="10"/>
      <c r="L3" s="10"/>
      <c r="M3" s="45"/>
      <c r="N3" s="10"/>
      <c r="O3" s="10"/>
      <c r="P3" s="10"/>
      <c r="Q3" s="10"/>
      <c r="R3" s="10"/>
      <c r="S3" s="76"/>
      <c r="T3" s="10"/>
      <c r="U3" s="10"/>
      <c r="V3" s="10"/>
      <c r="W3" s="10"/>
    </row>
    <row r="4" spans="1:23" s="42" customFormat="1" ht="26.1" customHeight="1" x14ac:dyDescent="0.25">
      <c r="A4" s="10" t="s">
        <v>34</v>
      </c>
      <c r="B4" s="10"/>
      <c r="C4" s="10"/>
      <c r="D4" s="10"/>
      <c r="E4" s="10"/>
      <c r="F4" s="101"/>
      <c r="G4" s="10"/>
      <c r="H4" s="100"/>
      <c r="I4" s="10"/>
      <c r="J4" s="10"/>
      <c r="K4" s="10"/>
      <c r="L4" s="10"/>
      <c r="M4" s="45"/>
      <c r="N4" s="10"/>
      <c r="O4" s="10"/>
      <c r="P4" s="10"/>
      <c r="Q4" s="10"/>
      <c r="R4" s="10"/>
      <c r="S4" s="76"/>
      <c r="T4" s="10"/>
      <c r="U4" s="10"/>
      <c r="V4" s="10"/>
      <c r="W4" s="10"/>
    </row>
    <row r="5" spans="1:23" s="42" customFormat="1" ht="26.1" customHeight="1" x14ac:dyDescent="0.25">
      <c r="A5" s="349" t="s">
        <v>36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</row>
    <row r="6" spans="1:23" s="42" customFormat="1" ht="26.1" customHeight="1" x14ac:dyDescent="0.25">
      <c r="A6" s="369" t="str">
        <f>Ground!A6</f>
        <v>ຕົວຢ່າງ ໂຄງເງິນເດືອນ</v>
      </c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</row>
    <row r="7" spans="1:23" ht="26.1" customHeight="1" x14ac:dyDescent="0.25">
      <c r="A7" s="362" t="s">
        <v>3</v>
      </c>
      <c r="B7" s="362" t="s">
        <v>4</v>
      </c>
      <c r="C7" s="357" t="s">
        <v>18</v>
      </c>
      <c r="D7" s="359" t="s">
        <v>12</v>
      </c>
      <c r="E7" s="357" t="s">
        <v>14</v>
      </c>
      <c r="F7" s="353" t="s">
        <v>79</v>
      </c>
      <c r="G7" s="378"/>
      <c r="H7" s="378"/>
      <c r="I7" s="354"/>
      <c r="J7" s="38" t="s">
        <v>55</v>
      </c>
      <c r="K7" s="357" t="s">
        <v>54</v>
      </c>
      <c r="L7" s="357" t="s">
        <v>121</v>
      </c>
      <c r="M7" s="359" t="s">
        <v>119</v>
      </c>
      <c r="N7" s="357" t="s">
        <v>42</v>
      </c>
      <c r="O7" s="364" t="s">
        <v>20</v>
      </c>
      <c r="P7" s="365"/>
      <c r="Q7" s="357" t="s">
        <v>43</v>
      </c>
      <c r="R7" s="357" t="s">
        <v>44</v>
      </c>
      <c r="S7" s="359" t="s">
        <v>45</v>
      </c>
      <c r="T7" s="357" t="s">
        <v>35</v>
      </c>
      <c r="U7" s="357" t="s">
        <v>53</v>
      </c>
      <c r="V7" s="357" t="s">
        <v>81</v>
      </c>
      <c r="W7" s="357" t="s">
        <v>46</v>
      </c>
    </row>
    <row r="8" spans="1:23" s="42" customFormat="1" ht="26.1" customHeight="1" x14ac:dyDescent="0.25">
      <c r="A8" s="363"/>
      <c r="B8" s="363"/>
      <c r="C8" s="358"/>
      <c r="D8" s="360"/>
      <c r="E8" s="358"/>
      <c r="F8" s="355"/>
      <c r="G8" s="379"/>
      <c r="H8" s="379"/>
      <c r="I8" s="356"/>
      <c r="J8" s="374">
        <v>30920</v>
      </c>
      <c r="K8" s="358"/>
      <c r="L8" s="358"/>
      <c r="M8" s="360"/>
      <c r="N8" s="358"/>
      <c r="O8" s="366"/>
      <c r="P8" s="367"/>
      <c r="Q8" s="358"/>
      <c r="R8" s="358"/>
      <c r="S8" s="360"/>
      <c r="T8" s="358"/>
      <c r="U8" s="358"/>
      <c r="V8" s="358"/>
      <c r="W8" s="358"/>
    </row>
    <row r="9" spans="1:23" s="42" customFormat="1" ht="26.1" customHeight="1" x14ac:dyDescent="0.25">
      <c r="A9" s="363"/>
      <c r="B9" s="363"/>
      <c r="C9" s="358"/>
      <c r="D9" s="360"/>
      <c r="E9" s="358"/>
      <c r="F9" s="345" t="s">
        <v>78</v>
      </c>
      <c r="G9" s="362" t="s">
        <v>5</v>
      </c>
      <c r="H9" s="371" t="s">
        <v>52</v>
      </c>
      <c r="I9" s="362" t="s">
        <v>5</v>
      </c>
      <c r="J9" s="375"/>
      <c r="K9" s="358"/>
      <c r="L9" s="358"/>
      <c r="M9" s="360"/>
      <c r="N9" s="358"/>
      <c r="O9" s="14" t="s">
        <v>21</v>
      </c>
      <c r="P9" s="102" t="s">
        <v>22</v>
      </c>
      <c r="Q9" s="358"/>
      <c r="R9" s="358"/>
      <c r="S9" s="360"/>
      <c r="T9" s="358"/>
      <c r="U9" s="358"/>
      <c r="V9" s="358"/>
      <c r="W9" s="358"/>
    </row>
    <row r="10" spans="1:23" s="42" customFormat="1" ht="26.1" customHeight="1" x14ac:dyDescent="0.25">
      <c r="A10" s="373"/>
      <c r="B10" s="373"/>
      <c r="C10" s="361"/>
      <c r="D10" s="377"/>
      <c r="E10" s="361"/>
      <c r="F10" s="346"/>
      <c r="G10" s="373"/>
      <c r="H10" s="372"/>
      <c r="I10" s="373"/>
      <c r="J10" s="376"/>
      <c r="K10" s="361"/>
      <c r="L10" s="361"/>
      <c r="M10" s="377"/>
      <c r="N10" s="361"/>
      <c r="O10" s="103">
        <v>5.5E-2</v>
      </c>
      <c r="P10" s="104">
        <v>0.06</v>
      </c>
      <c r="Q10" s="361"/>
      <c r="R10" s="361"/>
      <c r="S10" s="377"/>
      <c r="T10" s="361"/>
      <c r="U10" s="361"/>
      <c r="V10" s="361"/>
      <c r="W10" s="361"/>
    </row>
    <row r="11" spans="1:23" s="117" customFormat="1" ht="26.1" customHeight="1" x14ac:dyDescent="0.25">
      <c r="A11" s="105"/>
      <c r="B11" s="106"/>
      <c r="C11" s="107"/>
      <c r="D11" s="22">
        <v>1</v>
      </c>
      <c r="E11" s="108"/>
      <c r="F11" s="111"/>
      <c r="G11" s="105">
        <v>2</v>
      </c>
      <c r="H11" s="113"/>
      <c r="I11" s="105">
        <v>3</v>
      </c>
      <c r="J11" s="105"/>
      <c r="K11" s="105">
        <v>4</v>
      </c>
      <c r="L11" s="105">
        <v>5</v>
      </c>
      <c r="M11" s="114">
        <v>6</v>
      </c>
      <c r="N11" s="108" t="s">
        <v>84</v>
      </c>
      <c r="O11" s="115" t="s">
        <v>85</v>
      </c>
      <c r="P11" s="116" t="s">
        <v>86</v>
      </c>
      <c r="Q11" s="109" t="s">
        <v>87</v>
      </c>
      <c r="R11" s="109">
        <v>11</v>
      </c>
      <c r="S11" s="110" t="s">
        <v>88</v>
      </c>
      <c r="T11" s="109">
        <v>13</v>
      </c>
      <c r="U11" s="109" t="s">
        <v>89</v>
      </c>
      <c r="V11" s="109">
        <v>15</v>
      </c>
      <c r="W11" s="109" t="s">
        <v>90</v>
      </c>
    </row>
    <row r="12" spans="1:23" s="48" customFormat="1" ht="26.1" customHeight="1" x14ac:dyDescent="0.25">
      <c r="A12" s="51"/>
      <c r="B12" s="51" t="s">
        <v>29</v>
      </c>
      <c r="C12" s="51"/>
      <c r="D12" s="50">
        <v>12400000</v>
      </c>
      <c r="E12" s="50">
        <v>0</v>
      </c>
      <c r="F12" s="50">
        <v>2480</v>
      </c>
      <c r="G12" s="50">
        <v>4099344383.0526791</v>
      </c>
      <c r="H12" s="50">
        <v>38</v>
      </c>
      <c r="I12" s="50">
        <v>16100000</v>
      </c>
      <c r="J12" s="50">
        <v>2050</v>
      </c>
      <c r="K12" s="50">
        <v>63386000</v>
      </c>
      <c r="L12" s="50">
        <v>0</v>
      </c>
      <c r="M12" s="50">
        <v>132526615.57432063</v>
      </c>
      <c r="N12" s="50">
        <v>4323756998.6269999</v>
      </c>
      <c r="O12" s="50">
        <v>10147500</v>
      </c>
      <c r="P12" s="50">
        <v>11070000</v>
      </c>
      <c r="Q12" s="50">
        <v>4313609498.6269999</v>
      </c>
      <c r="R12" s="50">
        <v>849242047.33639097</v>
      </c>
      <c r="S12" s="50">
        <v>3464367451.2906113</v>
      </c>
      <c r="T12" s="50">
        <v>9851221</v>
      </c>
      <c r="U12" s="50">
        <v>63386000</v>
      </c>
      <c r="V12" s="50">
        <v>0</v>
      </c>
      <c r="W12" s="91">
        <v>3391130230.2999978</v>
      </c>
    </row>
    <row r="13" spans="1:23" ht="26.1" customHeight="1" x14ac:dyDescent="0.25">
      <c r="A13" s="16">
        <v>1</v>
      </c>
      <c r="B13" s="9" t="s">
        <v>128</v>
      </c>
      <c r="C13" s="9" t="s">
        <v>2</v>
      </c>
      <c r="D13" s="4">
        <v>1000000</v>
      </c>
      <c r="E13" s="6" t="s">
        <v>60</v>
      </c>
      <c r="F13" s="4">
        <v>52</v>
      </c>
      <c r="G13" s="21">
        <v>125639472</v>
      </c>
      <c r="H13" s="118"/>
      <c r="I13" s="5">
        <v>0</v>
      </c>
      <c r="J13" s="5">
        <v>150</v>
      </c>
      <c r="K13" s="4">
        <v>4638000</v>
      </c>
      <c r="L13" s="4"/>
      <c r="M13" s="4"/>
      <c r="N13" s="5">
        <v>131277472</v>
      </c>
      <c r="O13" s="123">
        <v>247500</v>
      </c>
      <c r="P13" s="123">
        <v>270000</v>
      </c>
      <c r="Q13" s="4">
        <v>131029972</v>
      </c>
      <c r="R13" s="8">
        <v>27132493</v>
      </c>
      <c r="S13" s="8">
        <v>103897479</v>
      </c>
      <c r="T13" s="8">
        <v>20000</v>
      </c>
      <c r="U13" s="8">
        <v>4638000</v>
      </c>
      <c r="V13" s="8"/>
      <c r="W13" s="8">
        <v>99239479</v>
      </c>
    </row>
    <row r="14" spans="1:23" ht="26.1" customHeight="1" x14ac:dyDescent="0.25">
      <c r="A14" s="16">
        <v>2</v>
      </c>
      <c r="B14" s="9" t="s">
        <v>129</v>
      </c>
      <c r="C14" s="9" t="s">
        <v>23</v>
      </c>
      <c r="D14" s="4">
        <v>800000</v>
      </c>
      <c r="E14" s="6" t="s">
        <v>60</v>
      </c>
      <c r="F14" s="4">
        <v>50</v>
      </c>
      <c r="G14" s="21">
        <v>125639472</v>
      </c>
      <c r="H14" s="118"/>
      <c r="I14" s="5">
        <v>0</v>
      </c>
      <c r="J14" s="5">
        <v>130</v>
      </c>
      <c r="K14" s="4">
        <v>4019600</v>
      </c>
      <c r="L14" s="4"/>
      <c r="M14" s="4">
        <v>10700000</v>
      </c>
      <c r="N14" s="5">
        <v>141159072</v>
      </c>
      <c r="O14" s="123">
        <v>247500</v>
      </c>
      <c r="P14" s="123">
        <v>270000</v>
      </c>
      <c r="Q14" s="4">
        <v>140911572</v>
      </c>
      <c r="R14" s="8">
        <v>29602893</v>
      </c>
      <c r="S14" s="8">
        <v>111308679</v>
      </c>
      <c r="T14" s="8">
        <v>20000</v>
      </c>
      <c r="U14" s="8">
        <v>4019600</v>
      </c>
      <c r="V14" s="8"/>
      <c r="W14" s="8">
        <v>107269079</v>
      </c>
    </row>
    <row r="15" spans="1:23" ht="26.1" customHeight="1" x14ac:dyDescent="0.25">
      <c r="D15" s="74"/>
      <c r="F15" s="19"/>
      <c r="H15" s="119"/>
      <c r="I15" s="75"/>
      <c r="J15" s="75"/>
      <c r="K15" s="74"/>
      <c r="L15" s="75"/>
      <c r="M15" s="99"/>
      <c r="S15" s="74"/>
    </row>
    <row r="16" spans="1:23" ht="26.1" customHeight="1" x14ac:dyDescent="0.25">
      <c r="D16" s="74"/>
      <c r="F16" s="19"/>
      <c r="H16" s="119"/>
      <c r="I16" s="75"/>
      <c r="J16" s="75"/>
      <c r="K16" s="74"/>
      <c r="L16" s="75"/>
      <c r="M16" s="99"/>
      <c r="S16" s="74"/>
    </row>
    <row r="17" spans="4:19" ht="26.1" customHeight="1" x14ac:dyDescent="0.25">
      <c r="D17" s="74"/>
      <c r="F17" s="19"/>
      <c r="H17" s="119"/>
      <c r="I17" s="75"/>
      <c r="J17" s="75"/>
      <c r="K17" s="74"/>
      <c r="L17" s="75"/>
      <c r="M17" s="99"/>
      <c r="S17" s="74"/>
    </row>
    <row r="18" spans="4:19" ht="26.1" customHeight="1" x14ac:dyDescent="0.25">
      <c r="D18" s="74"/>
      <c r="F18" s="19"/>
      <c r="H18" s="119"/>
      <c r="I18" s="75"/>
      <c r="J18" s="75"/>
      <c r="K18" s="74"/>
      <c r="L18" s="75"/>
      <c r="M18" s="99"/>
      <c r="S18" s="74"/>
    </row>
    <row r="19" spans="4:19" ht="26.1" customHeight="1" x14ac:dyDescent="0.25">
      <c r="D19" s="74"/>
      <c r="F19" s="19"/>
      <c r="H19" s="119"/>
      <c r="I19" s="75"/>
      <c r="J19" s="75"/>
      <c r="K19" s="74"/>
      <c r="L19" s="75"/>
      <c r="M19" s="99"/>
      <c r="S19" s="74"/>
    </row>
    <row r="20" spans="4:19" ht="26.1" customHeight="1" x14ac:dyDescent="0.25">
      <c r="D20" s="74"/>
      <c r="F20" s="19"/>
      <c r="H20" s="119"/>
      <c r="I20" s="75"/>
      <c r="J20" s="75"/>
      <c r="K20" s="74"/>
      <c r="L20" s="75"/>
      <c r="M20" s="99"/>
      <c r="S20" s="74"/>
    </row>
    <row r="21" spans="4:19" ht="26.1" customHeight="1" x14ac:dyDescent="0.25">
      <c r="D21" s="74"/>
      <c r="F21" s="19"/>
      <c r="H21" s="119"/>
      <c r="I21" s="75"/>
      <c r="J21" s="75"/>
      <c r="K21" s="74"/>
      <c r="L21" s="75"/>
      <c r="M21" s="99"/>
      <c r="S21" s="74"/>
    </row>
    <row r="22" spans="4:19" ht="26.1" customHeight="1" x14ac:dyDescent="0.25">
      <c r="D22" s="74"/>
      <c r="F22" s="19"/>
      <c r="H22" s="119"/>
      <c r="I22" s="75"/>
      <c r="J22" s="75"/>
      <c r="K22" s="74"/>
      <c r="L22" s="75"/>
      <c r="M22" s="99"/>
      <c r="S22" s="74"/>
    </row>
    <row r="23" spans="4:19" ht="26.1" customHeight="1" x14ac:dyDescent="0.25">
      <c r="D23" s="74"/>
      <c r="F23" s="19"/>
      <c r="H23" s="119"/>
      <c r="I23" s="75"/>
      <c r="J23" s="75"/>
      <c r="K23" s="74"/>
      <c r="L23" s="75"/>
      <c r="M23" s="99"/>
      <c r="S23" s="74"/>
    </row>
    <row r="24" spans="4:19" ht="26.1" customHeight="1" x14ac:dyDescent="0.25">
      <c r="D24" s="74"/>
      <c r="F24" s="19"/>
      <c r="H24" s="119"/>
      <c r="I24" s="75"/>
      <c r="J24" s="75"/>
      <c r="K24" s="74"/>
      <c r="L24" s="75"/>
      <c r="M24" s="99"/>
      <c r="S24" s="74"/>
    </row>
    <row r="25" spans="4:19" ht="26.1" customHeight="1" x14ac:dyDescent="0.25">
      <c r="D25" s="74"/>
      <c r="F25" s="19"/>
      <c r="H25" s="119"/>
      <c r="I25" s="75"/>
      <c r="J25" s="75"/>
      <c r="K25" s="74"/>
      <c r="L25" s="75"/>
      <c r="M25" s="99"/>
      <c r="S25" s="74"/>
    </row>
    <row r="26" spans="4:19" ht="26.1" customHeight="1" x14ac:dyDescent="0.25">
      <c r="D26" s="74"/>
      <c r="F26" s="19"/>
      <c r="H26" s="119"/>
      <c r="I26" s="75"/>
      <c r="J26" s="75"/>
      <c r="K26" s="74"/>
      <c r="L26" s="75"/>
      <c r="M26" s="99"/>
      <c r="S26" s="74"/>
    </row>
    <row r="27" spans="4:19" ht="26.1" customHeight="1" x14ac:dyDescent="0.25">
      <c r="D27" s="74"/>
      <c r="F27" s="19"/>
      <c r="H27" s="119"/>
      <c r="I27" s="75"/>
      <c r="J27" s="75"/>
      <c r="K27" s="74"/>
      <c r="L27" s="75"/>
      <c r="M27" s="99"/>
      <c r="S27" s="74"/>
    </row>
    <row r="28" spans="4:19" ht="26.1" customHeight="1" x14ac:dyDescent="0.25">
      <c r="D28" s="74"/>
      <c r="F28" s="19"/>
      <c r="H28" s="119"/>
      <c r="I28" s="75"/>
      <c r="J28" s="75"/>
      <c r="K28" s="74"/>
      <c r="L28" s="75"/>
      <c r="M28" s="99"/>
      <c r="S28" s="74"/>
    </row>
    <row r="29" spans="4:19" ht="26.1" customHeight="1" x14ac:dyDescent="0.25">
      <c r="D29" s="74"/>
      <c r="F29" s="19"/>
      <c r="H29" s="119"/>
      <c r="I29" s="75"/>
      <c r="J29" s="75"/>
      <c r="K29" s="74"/>
      <c r="L29" s="75"/>
      <c r="M29" s="99"/>
      <c r="S29" s="74"/>
    </row>
    <row r="30" spans="4:19" ht="26.1" customHeight="1" x14ac:dyDescent="0.25">
      <c r="D30" s="74"/>
      <c r="F30" s="19"/>
      <c r="H30" s="119"/>
      <c r="I30" s="75"/>
      <c r="J30" s="75"/>
      <c r="K30" s="74"/>
      <c r="L30" s="75"/>
      <c r="M30" s="99"/>
      <c r="S30" s="74"/>
    </row>
    <row r="31" spans="4:19" ht="26.1" customHeight="1" x14ac:dyDescent="0.25">
      <c r="D31" s="74"/>
      <c r="F31" s="19"/>
      <c r="H31" s="119"/>
      <c r="I31" s="75"/>
      <c r="J31" s="75"/>
      <c r="K31" s="74"/>
      <c r="L31" s="75"/>
      <c r="M31" s="99"/>
      <c r="S31" s="74"/>
    </row>
    <row r="32" spans="4:19" ht="26.1" customHeight="1" x14ac:dyDescent="0.25">
      <c r="D32" s="74"/>
      <c r="F32" s="19"/>
      <c r="H32" s="119"/>
      <c r="I32" s="75"/>
      <c r="J32" s="75"/>
      <c r="K32" s="74"/>
      <c r="L32" s="75"/>
      <c r="M32" s="99"/>
      <c r="S32" s="74"/>
    </row>
    <row r="33" spans="4:19" ht="26.1" customHeight="1" x14ac:dyDescent="0.25">
      <c r="D33" s="74"/>
      <c r="F33" s="19"/>
      <c r="H33" s="119"/>
      <c r="I33" s="75"/>
      <c r="J33" s="75"/>
      <c r="K33" s="74"/>
      <c r="L33" s="75"/>
      <c r="M33" s="99"/>
      <c r="S33" s="74"/>
    </row>
    <row r="34" spans="4:19" ht="26.1" customHeight="1" x14ac:dyDescent="0.25">
      <c r="D34" s="74"/>
      <c r="F34" s="19"/>
      <c r="H34" s="119"/>
      <c r="I34" s="75"/>
      <c r="J34" s="75"/>
      <c r="K34" s="74"/>
      <c r="L34" s="75"/>
      <c r="M34" s="99"/>
      <c r="S34" s="74"/>
    </row>
    <row r="35" spans="4:19" ht="26.1" customHeight="1" x14ac:dyDescent="0.25">
      <c r="D35" s="74"/>
      <c r="F35" s="19"/>
      <c r="H35" s="119"/>
      <c r="I35" s="75"/>
      <c r="J35" s="75"/>
      <c r="K35" s="74"/>
      <c r="L35" s="75"/>
      <c r="M35" s="99"/>
      <c r="S35" s="74"/>
    </row>
    <row r="36" spans="4:19" ht="26.1" customHeight="1" x14ac:dyDescent="0.25">
      <c r="D36" s="74"/>
      <c r="F36" s="19"/>
      <c r="H36" s="119"/>
      <c r="I36" s="75"/>
      <c r="J36" s="75"/>
      <c r="K36" s="74"/>
      <c r="L36" s="75"/>
      <c r="M36" s="99"/>
      <c r="S36" s="74"/>
    </row>
    <row r="37" spans="4:19" ht="26.1" customHeight="1" x14ac:dyDescent="0.25">
      <c r="D37" s="74"/>
      <c r="F37" s="19"/>
      <c r="H37" s="119"/>
      <c r="I37" s="75"/>
      <c r="J37" s="75"/>
      <c r="K37" s="74"/>
      <c r="L37" s="75"/>
      <c r="M37" s="99"/>
      <c r="S37" s="74"/>
    </row>
    <row r="38" spans="4:19" ht="26.1" customHeight="1" x14ac:dyDescent="0.25">
      <c r="D38" s="74"/>
      <c r="F38" s="19"/>
      <c r="H38" s="119"/>
      <c r="I38" s="75"/>
      <c r="J38" s="75"/>
      <c r="K38" s="74"/>
      <c r="L38" s="75"/>
      <c r="M38" s="99"/>
      <c r="S38" s="74"/>
    </row>
    <row r="39" spans="4:19" ht="26.1" customHeight="1" x14ac:dyDescent="0.25">
      <c r="D39" s="74"/>
      <c r="F39" s="19"/>
      <c r="H39" s="119"/>
      <c r="I39" s="75"/>
      <c r="J39" s="75"/>
      <c r="K39" s="74"/>
      <c r="L39" s="75"/>
      <c r="M39" s="99"/>
      <c r="S39" s="74"/>
    </row>
    <row r="40" spans="4:19" ht="26.1" customHeight="1" x14ac:dyDescent="0.25">
      <c r="D40" s="74"/>
      <c r="F40" s="19"/>
      <c r="H40" s="119"/>
      <c r="I40" s="75"/>
      <c r="J40" s="75"/>
      <c r="K40" s="74"/>
      <c r="L40" s="75"/>
      <c r="M40" s="99"/>
      <c r="S40" s="74"/>
    </row>
    <row r="41" spans="4:19" ht="26.1" customHeight="1" x14ac:dyDescent="0.25">
      <c r="D41" s="74"/>
      <c r="F41" s="19"/>
      <c r="H41" s="119"/>
      <c r="I41" s="75"/>
      <c r="J41" s="75"/>
      <c r="K41" s="74"/>
      <c r="L41" s="75"/>
      <c r="M41" s="99"/>
      <c r="S41" s="74"/>
    </row>
    <row r="42" spans="4:19" ht="26.1" customHeight="1" x14ac:dyDescent="0.25">
      <c r="D42" s="74"/>
      <c r="F42" s="19"/>
      <c r="H42" s="119"/>
      <c r="I42" s="75"/>
      <c r="J42" s="75"/>
      <c r="K42" s="74"/>
      <c r="L42" s="75"/>
      <c r="M42" s="99"/>
      <c r="S42" s="74"/>
    </row>
    <row r="43" spans="4:19" ht="26.1" customHeight="1" x14ac:dyDescent="0.25">
      <c r="D43" s="74"/>
      <c r="F43" s="19"/>
      <c r="H43" s="119"/>
      <c r="I43" s="75"/>
      <c r="J43" s="75"/>
      <c r="K43" s="74"/>
      <c r="L43" s="75"/>
      <c r="M43" s="99"/>
      <c r="S43" s="74"/>
    </row>
    <row r="44" spans="4:19" ht="26.1" customHeight="1" x14ac:dyDescent="0.25">
      <c r="D44" s="74"/>
      <c r="F44" s="19"/>
      <c r="H44" s="119"/>
      <c r="I44" s="75"/>
      <c r="J44" s="75"/>
      <c r="K44" s="74"/>
      <c r="L44" s="75"/>
      <c r="M44" s="99"/>
      <c r="S44" s="74"/>
    </row>
    <row r="45" spans="4:19" ht="26.1" customHeight="1" x14ac:dyDescent="0.25">
      <c r="D45" s="74"/>
      <c r="F45" s="19"/>
      <c r="H45" s="119"/>
      <c r="I45" s="75"/>
      <c r="J45" s="75"/>
      <c r="K45" s="74"/>
      <c r="L45" s="75"/>
      <c r="M45" s="99"/>
      <c r="S45" s="74"/>
    </row>
    <row r="46" spans="4:19" ht="26.1" customHeight="1" x14ac:dyDescent="0.25">
      <c r="D46" s="74"/>
      <c r="F46" s="19"/>
      <c r="H46" s="119"/>
      <c r="I46" s="75"/>
      <c r="J46" s="75"/>
      <c r="K46" s="74"/>
      <c r="L46" s="75"/>
      <c r="M46" s="99"/>
      <c r="S46" s="74"/>
    </row>
    <row r="47" spans="4:19" ht="26.1" customHeight="1" x14ac:dyDescent="0.25">
      <c r="D47" s="74"/>
      <c r="F47" s="19"/>
      <c r="H47" s="119"/>
      <c r="I47" s="75"/>
      <c r="J47" s="75"/>
      <c r="K47" s="74"/>
      <c r="L47" s="75"/>
      <c r="M47" s="99"/>
      <c r="S47" s="74"/>
    </row>
    <row r="48" spans="4:19" ht="26.1" customHeight="1" x14ac:dyDescent="0.25">
      <c r="D48" s="74"/>
      <c r="F48" s="19"/>
      <c r="H48" s="119"/>
      <c r="I48" s="75"/>
      <c r="J48" s="75"/>
      <c r="K48" s="74"/>
      <c r="L48" s="75"/>
      <c r="M48" s="99"/>
      <c r="S48" s="74"/>
    </row>
    <row r="49" spans="4:19" ht="26.1" customHeight="1" x14ac:dyDescent="0.25">
      <c r="D49" s="74"/>
      <c r="F49" s="19"/>
      <c r="H49" s="119"/>
      <c r="I49" s="75"/>
      <c r="J49" s="75"/>
      <c r="K49" s="74"/>
      <c r="L49" s="75"/>
      <c r="M49" s="99"/>
      <c r="S49" s="74"/>
    </row>
    <row r="50" spans="4:19" ht="26.1" customHeight="1" x14ac:dyDescent="0.25">
      <c r="D50" s="74"/>
      <c r="F50" s="19"/>
      <c r="H50" s="119"/>
      <c r="I50" s="75"/>
      <c r="J50" s="75"/>
      <c r="K50" s="74"/>
      <c r="L50" s="75"/>
      <c r="M50" s="99"/>
      <c r="S50" s="74"/>
    </row>
    <row r="51" spans="4:19" ht="26.1" customHeight="1" x14ac:dyDescent="0.25">
      <c r="D51" s="74"/>
      <c r="F51" s="19"/>
      <c r="H51" s="119"/>
      <c r="I51" s="75"/>
      <c r="J51" s="75"/>
      <c r="K51" s="74"/>
      <c r="L51" s="75"/>
      <c r="M51" s="99"/>
      <c r="S51" s="74"/>
    </row>
    <row r="52" spans="4:19" ht="26.1" customHeight="1" x14ac:dyDescent="0.25">
      <c r="D52" s="74"/>
      <c r="F52" s="19"/>
      <c r="H52" s="119"/>
      <c r="I52" s="75"/>
      <c r="J52" s="75"/>
      <c r="K52" s="74"/>
      <c r="L52" s="75"/>
      <c r="M52" s="99"/>
      <c r="S52" s="74"/>
    </row>
    <row r="53" spans="4:19" ht="26.1" customHeight="1" x14ac:dyDescent="0.25">
      <c r="D53" s="74"/>
      <c r="F53" s="19"/>
      <c r="H53" s="119"/>
      <c r="I53" s="75"/>
      <c r="J53" s="75"/>
      <c r="K53" s="74"/>
      <c r="L53" s="75"/>
      <c r="M53" s="99"/>
      <c r="S53" s="74"/>
    </row>
    <row r="54" spans="4:19" ht="26.1" customHeight="1" x14ac:dyDescent="0.25">
      <c r="D54" s="74"/>
      <c r="F54" s="19"/>
      <c r="H54" s="119"/>
      <c r="I54" s="75"/>
      <c r="J54" s="75"/>
      <c r="K54" s="74"/>
      <c r="L54" s="75"/>
      <c r="M54" s="99"/>
      <c r="S54" s="74"/>
    </row>
    <row r="55" spans="4:19" ht="26.1" customHeight="1" x14ac:dyDescent="0.25">
      <c r="D55" s="74"/>
      <c r="F55" s="19"/>
      <c r="H55" s="119"/>
      <c r="I55" s="75"/>
      <c r="J55" s="75"/>
      <c r="K55" s="74"/>
      <c r="L55" s="75"/>
      <c r="M55" s="99"/>
      <c r="S55" s="74"/>
    </row>
    <row r="56" spans="4:19" ht="26.1" customHeight="1" x14ac:dyDescent="0.25">
      <c r="D56" s="74"/>
      <c r="F56" s="19"/>
      <c r="H56" s="119"/>
      <c r="I56" s="75"/>
      <c r="J56" s="75"/>
      <c r="K56" s="74"/>
      <c r="L56" s="75"/>
      <c r="M56" s="99"/>
      <c r="S56" s="74"/>
    </row>
    <row r="57" spans="4:19" ht="26.1" customHeight="1" x14ac:dyDescent="0.25">
      <c r="D57" s="74"/>
      <c r="F57" s="19"/>
      <c r="H57" s="119"/>
      <c r="I57" s="75"/>
      <c r="J57" s="75"/>
      <c r="K57" s="74"/>
      <c r="L57" s="75"/>
      <c r="M57" s="99"/>
      <c r="S57" s="74"/>
    </row>
    <row r="58" spans="4:19" ht="26.1" customHeight="1" x14ac:dyDescent="0.25">
      <c r="D58" s="74"/>
      <c r="F58" s="19"/>
      <c r="H58" s="119"/>
      <c r="I58" s="75"/>
      <c r="J58" s="75"/>
      <c r="K58" s="74"/>
      <c r="L58" s="75"/>
      <c r="M58" s="99"/>
      <c r="S58" s="74"/>
    </row>
    <row r="59" spans="4:19" ht="26.1" customHeight="1" x14ac:dyDescent="0.25">
      <c r="D59" s="74"/>
      <c r="F59" s="19"/>
      <c r="H59" s="119"/>
      <c r="I59" s="75"/>
      <c r="J59" s="75"/>
      <c r="K59" s="74"/>
      <c r="L59" s="75"/>
      <c r="M59" s="99"/>
      <c r="S59" s="74"/>
    </row>
    <row r="60" spans="4:19" ht="26.1" customHeight="1" x14ac:dyDescent="0.25">
      <c r="D60" s="74"/>
      <c r="F60" s="19"/>
      <c r="H60" s="119"/>
      <c r="I60" s="75"/>
      <c r="J60" s="75"/>
      <c r="K60" s="74"/>
      <c r="L60" s="75"/>
      <c r="M60" s="99"/>
      <c r="S60" s="74"/>
    </row>
    <row r="61" spans="4:19" ht="26.1" customHeight="1" x14ac:dyDescent="0.25">
      <c r="D61" s="74"/>
      <c r="F61" s="19"/>
      <c r="H61" s="119"/>
      <c r="I61" s="75"/>
      <c r="J61" s="75"/>
      <c r="K61" s="74"/>
      <c r="L61" s="75"/>
      <c r="M61" s="99"/>
      <c r="S61" s="74"/>
    </row>
    <row r="62" spans="4:19" ht="26.1" customHeight="1" x14ac:dyDescent="0.25">
      <c r="D62" s="74"/>
      <c r="F62" s="19"/>
      <c r="H62" s="119"/>
      <c r="I62" s="75"/>
      <c r="J62" s="75"/>
      <c r="K62" s="74"/>
      <c r="L62" s="75"/>
      <c r="M62" s="99"/>
      <c r="S62" s="74"/>
    </row>
    <row r="63" spans="4:19" ht="26.1" customHeight="1" x14ac:dyDescent="0.25">
      <c r="D63" s="74"/>
      <c r="F63" s="19"/>
      <c r="H63" s="119"/>
      <c r="I63" s="75"/>
      <c r="J63" s="75"/>
      <c r="K63" s="74"/>
      <c r="L63" s="75"/>
      <c r="M63" s="99"/>
      <c r="S63" s="74"/>
    </row>
    <row r="64" spans="4:19" ht="26.1" customHeight="1" x14ac:dyDescent="0.25">
      <c r="D64" s="74"/>
      <c r="F64" s="19"/>
      <c r="H64" s="119"/>
      <c r="I64" s="75"/>
      <c r="J64" s="75"/>
      <c r="K64" s="74"/>
      <c r="L64" s="75"/>
      <c r="M64" s="99"/>
      <c r="S64" s="74"/>
    </row>
    <row r="65" spans="4:19" ht="26.1" customHeight="1" x14ac:dyDescent="0.25">
      <c r="D65" s="74"/>
      <c r="F65" s="19"/>
      <c r="H65" s="119"/>
      <c r="I65" s="75"/>
      <c r="J65" s="75"/>
      <c r="K65" s="74"/>
      <c r="L65" s="75"/>
      <c r="M65" s="99"/>
      <c r="S65" s="74"/>
    </row>
    <row r="66" spans="4:19" ht="26.1" customHeight="1" x14ac:dyDescent="0.25">
      <c r="D66" s="74"/>
      <c r="F66" s="19"/>
      <c r="H66" s="119"/>
      <c r="I66" s="75"/>
      <c r="J66" s="75"/>
      <c r="K66" s="74"/>
      <c r="L66" s="75"/>
      <c r="M66" s="99"/>
      <c r="S66" s="74"/>
    </row>
    <row r="67" spans="4:19" ht="26.1" customHeight="1" x14ac:dyDescent="0.25">
      <c r="D67" s="74"/>
      <c r="F67" s="19"/>
      <c r="H67" s="119"/>
      <c r="I67" s="75"/>
      <c r="J67" s="75"/>
      <c r="K67" s="74"/>
      <c r="L67" s="75"/>
      <c r="M67" s="99"/>
      <c r="S67" s="74"/>
    </row>
    <row r="68" spans="4:19" ht="26.1" customHeight="1" x14ac:dyDescent="0.25">
      <c r="D68" s="74"/>
      <c r="F68" s="19"/>
      <c r="H68" s="119"/>
      <c r="I68" s="75"/>
      <c r="J68" s="75"/>
      <c r="K68" s="74"/>
      <c r="L68" s="75"/>
      <c r="M68" s="99"/>
      <c r="S68" s="74"/>
    </row>
    <row r="69" spans="4:19" ht="26.1" customHeight="1" x14ac:dyDescent="0.25">
      <c r="D69" s="74"/>
      <c r="F69" s="19"/>
      <c r="H69" s="119"/>
      <c r="I69" s="75"/>
      <c r="J69" s="75"/>
      <c r="K69" s="74"/>
      <c r="L69" s="75"/>
      <c r="M69" s="99"/>
      <c r="S69" s="74"/>
    </row>
    <row r="70" spans="4:19" ht="26.1" customHeight="1" x14ac:dyDescent="0.25">
      <c r="D70" s="74"/>
      <c r="F70" s="19"/>
      <c r="H70" s="119"/>
      <c r="I70" s="75"/>
      <c r="J70" s="75"/>
      <c r="K70" s="74"/>
      <c r="L70" s="75"/>
      <c r="M70" s="99"/>
      <c r="S70" s="74"/>
    </row>
    <row r="71" spans="4:19" ht="26.1" customHeight="1" x14ac:dyDescent="0.25">
      <c r="D71" s="74"/>
      <c r="F71" s="19"/>
      <c r="H71" s="119"/>
      <c r="I71" s="75"/>
      <c r="J71" s="75"/>
      <c r="K71" s="74"/>
      <c r="L71" s="75"/>
      <c r="M71" s="99"/>
      <c r="S71" s="74"/>
    </row>
    <row r="72" spans="4:19" ht="26.1" customHeight="1" x14ac:dyDescent="0.25">
      <c r="D72" s="74"/>
      <c r="F72" s="19"/>
      <c r="H72" s="119"/>
      <c r="I72" s="75"/>
      <c r="J72" s="75"/>
      <c r="K72" s="74"/>
      <c r="L72" s="75"/>
      <c r="M72" s="99"/>
      <c r="S72" s="74"/>
    </row>
    <row r="73" spans="4:19" ht="26.1" customHeight="1" x14ac:dyDescent="0.25">
      <c r="D73" s="74"/>
      <c r="F73" s="19"/>
      <c r="H73" s="119"/>
      <c r="I73" s="75"/>
      <c r="J73" s="75"/>
      <c r="K73" s="74"/>
      <c r="L73" s="75"/>
      <c r="M73" s="99"/>
      <c r="S73" s="74"/>
    </row>
    <row r="74" spans="4:19" ht="26.1" customHeight="1" x14ac:dyDescent="0.25">
      <c r="D74" s="74"/>
      <c r="F74" s="19"/>
      <c r="H74" s="119"/>
      <c r="I74" s="75"/>
      <c r="J74" s="75"/>
      <c r="K74" s="74"/>
      <c r="L74" s="75"/>
      <c r="M74" s="99"/>
      <c r="S74" s="74"/>
    </row>
    <row r="75" spans="4:19" ht="26.1" customHeight="1" x14ac:dyDescent="0.25">
      <c r="D75" s="74"/>
      <c r="F75" s="19"/>
      <c r="H75" s="119"/>
      <c r="I75" s="75"/>
      <c r="J75" s="75"/>
      <c r="K75" s="74"/>
      <c r="L75" s="75"/>
      <c r="M75" s="99"/>
      <c r="S75" s="74"/>
    </row>
    <row r="76" spans="4:19" ht="26.1" customHeight="1" x14ac:dyDescent="0.25">
      <c r="D76" s="74"/>
      <c r="F76" s="19"/>
      <c r="H76" s="119"/>
      <c r="I76" s="75"/>
      <c r="J76" s="75"/>
      <c r="K76" s="74"/>
      <c r="L76" s="75"/>
      <c r="M76" s="99"/>
      <c r="S76" s="74"/>
    </row>
    <row r="77" spans="4:19" ht="26.1" customHeight="1" x14ac:dyDescent="0.25">
      <c r="D77" s="74"/>
      <c r="F77" s="19"/>
      <c r="H77" s="119"/>
      <c r="I77" s="75"/>
      <c r="J77" s="75"/>
      <c r="K77" s="74"/>
      <c r="L77" s="75"/>
      <c r="M77" s="99"/>
      <c r="S77" s="74"/>
    </row>
    <row r="78" spans="4:19" ht="26.1" customHeight="1" x14ac:dyDescent="0.25">
      <c r="D78" s="74"/>
      <c r="F78" s="19"/>
      <c r="H78" s="119"/>
      <c r="I78" s="75"/>
      <c r="J78" s="75"/>
      <c r="K78" s="74"/>
      <c r="L78" s="75"/>
      <c r="M78" s="99"/>
      <c r="S78" s="74"/>
    </row>
    <row r="79" spans="4:19" ht="26.1" customHeight="1" x14ac:dyDescent="0.25">
      <c r="D79" s="74"/>
      <c r="F79" s="19"/>
      <c r="H79" s="119"/>
      <c r="I79" s="75"/>
      <c r="J79" s="75"/>
      <c r="K79" s="74"/>
      <c r="L79" s="75"/>
      <c r="M79" s="99"/>
      <c r="S79" s="74"/>
    </row>
    <row r="80" spans="4:19" ht="26.1" customHeight="1" x14ac:dyDescent="0.25">
      <c r="D80" s="74"/>
      <c r="F80" s="19"/>
      <c r="H80" s="119"/>
      <c r="I80" s="75"/>
      <c r="J80" s="75"/>
      <c r="K80" s="74"/>
      <c r="L80" s="75"/>
      <c r="M80" s="99"/>
      <c r="S80" s="74"/>
    </row>
    <row r="81" spans="4:19" ht="26.1" customHeight="1" x14ac:dyDescent="0.25">
      <c r="D81" s="74"/>
      <c r="F81" s="19"/>
      <c r="H81" s="119"/>
      <c r="I81" s="75"/>
      <c r="J81" s="75"/>
      <c r="K81" s="74"/>
      <c r="L81" s="75"/>
      <c r="M81" s="99"/>
      <c r="S81" s="74"/>
    </row>
    <row r="82" spans="4:19" ht="26.1" customHeight="1" x14ac:dyDescent="0.25">
      <c r="D82" s="74"/>
      <c r="F82" s="19"/>
      <c r="H82" s="119"/>
      <c r="I82" s="75"/>
      <c r="J82" s="75"/>
      <c r="K82" s="74"/>
      <c r="L82" s="75"/>
      <c r="M82" s="99"/>
      <c r="S82" s="74"/>
    </row>
    <row r="83" spans="4:19" ht="26.1" customHeight="1" x14ac:dyDescent="0.25">
      <c r="D83" s="74"/>
      <c r="F83" s="19"/>
      <c r="H83" s="119"/>
      <c r="I83" s="75"/>
      <c r="J83" s="75"/>
      <c r="K83" s="74"/>
      <c r="L83" s="75"/>
      <c r="M83" s="99"/>
      <c r="S83" s="74"/>
    </row>
    <row r="84" spans="4:19" ht="26.1" customHeight="1" x14ac:dyDescent="0.25">
      <c r="D84" s="74"/>
      <c r="F84" s="19"/>
      <c r="H84" s="119"/>
      <c r="I84" s="75"/>
      <c r="J84" s="75"/>
      <c r="K84" s="74"/>
      <c r="L84" s="75"/>
      <c r="M84" s="99"/>
      <c r="S84" s="74"/>
    </row>
    <row r="85" spans="4:19" ht="26.1" customHeight="1" x14ac:dyDescent="0.25">
      <c r="D85" s="74"/>
      <c r="F85" s="19"/>
      <c r="H85" s="119"/>
      <c r="I85" s="75"/>
      <c r="J85" s="75"/>
      <c r="K85" s="74"/>
      <c r="L85" s="75"/>
      <c r="M85" s="99"/>
      <c r="S85" s="74"/>
    </row>
    <row r="86" spans="4:19" ht="26.1" customHeight="1" x14ac:dyDescent="0.25">
      <c r="D86" s="74"/>
      <c r="F86" s="19"/>
      <c r="H86" s="119"/>
      <c r="I86" s="75"/>
      <c r="J86" s="75"/>
      <c r="K86" s="74"/>
      <c r="L86" s="75"/>
      <c r="M86" s="99"/>
      <c r="S86" s="74"/>
    </row>
    <row r="87" spans="4:19" ht="26.1" customHeight="1" x14ac:dyDescent="0.25">
      <c r="D87" s="74"/>
      <c r="F87" s="19"/>
      <c r="H87" s="119"/>
      <c r="I87" s="75"/>
      <c r="J87" s="75"/>
      <c r="K87" s="74"/>
      <c r="L87" s="75"/>
      <c r="M87" s="99"/>
      <c r="S87" s="74"/>
    </row>
    <row r="88" spans="4:19" ht="26.1" customHeight="1" x14ac:dyDescent="0.25">
      <c r="D88" s="74"/>
      <c r="F88" s="19"/>
      <c r="H88" s="119"/>
      <c r="I88" s="75"/>
      <c r="J88" s="75"/>
      <c r="K88" s="74"/>
      <c r="L88" s="75"/>
      <c r="M88" s="99"/>
      <c r="S88" s="74"/>
    </row>
    <row r="89" spans="4:19" ht="26.1" customHeight="1" x14ac:dyDescent="0.25">
      <c r="D89" s="74"/>
      <c r="F89" s="19"/>
      <c r="H89" s="119"/>
      <c r="I89" s="75"/>
      <c r="J89" s="75"/>
      <c r="K89" s="74"/>
      <c r="L89" s="75"/>
      <c r="M89" s="99"/>
      <c r="S89" s="74"/>
    </row>
    <row r="90" spans="4:19" ht="26.1" customHeight="1" x14ac:dyDescent="0.25">
      <c r="D90" s="74"/>
      <c r="F90" s="19"/>
      <c r="H90" s="119"/>
      <c r="I90" s="75"/>
      <c r="J90" s="75"/>
      <c r="K90" s="74"/>
      <c r="L90" s="75"/>
      <c r="M90" s="99"/>
      <c r="S90" s="74"/>
    </row>
    <row r="91" spans="4:19" ht="26.1" customHeight="1" x14ac:dyDescent="0.25">
      <c r="D91" s="74"/>
      <c r="F91" s="19"/>
      <c r="H91" s="119"/>
      <c r="I91" s="75"/>
      <c r="J91" s="75"/>
      <c r="K91" s="74"/>
      <c r="L91" s="75"/>
      <c r="M91" s="99"/>
      <c r="S91" s="74"/>
    </row>
    <row r="92" spans="4:19" ht="26.1" customHeight="1" x14ac:dyDescent="0.25">
      <c r="D92" s="74"/>
      <c r="F92" s="19"/>
      <c r="H92" s="119"/>
      <c r="I92" s="75"/>
      <c r="J92" s="75"/>
      <c r="K92" s="74"/>
      <c r="L92" s="75"/>
      <c r="M92" s="99"/>
      <c r="S92" s="74"/>
    </row>
    <row r="93" spans="4:19" ht="26.1" customHeight="1" x14ac:dyDescent="0.25">
      <c r="D93" s="74"/>
      <c r="F93" s="19"/>
      <c r="H93" s="119"/>
      <c r="I93" s="75"/>
      <c r="J93" s="75"/>
      <c r="K93" s="74"/>
      <c r="L93" s="75"/>
      <c r="M93" s="99"/>
      <c r="S93" s="74"/>
    </row>
    <row r="94" spans="4:19" ht="26.1" customHeight="1" x14ac:dyDescent="0.25">
      <c r="D94" s="74"/>
      <c r="F94" s="19"/>
      <c r="H94" s="119"/>
      <c r="I94" s="75"/>
      <c r="J94" s="75"/>
      <c r="K94" s="74"/>
      <c r="L94" s="75"/>
      <c r="M94" s="99"/>
      <c r="S94" s="74"/>
    </row>
    <row r="95" spans="4:19" ht="26.1" customHeight="1" x14ac:dyDescent="0.25">
      <c r="D95" s="74"/>
      <c r="F95" s="19"/>
      <c r="H95" s="119"/>
      <c r="I95" s="75"/>
      <c r="J95" s="75"/>
      <c r="K95" s="74"/>
      <c r="L95" s="75"/>
      <c r="M95" s="99"/>
      <c r="S95" s="74"/>
    </row>
    <row r="96" spans="4:19" ht="26.1" customHeight="1" x14ac:dyDescent="0.25">
      <c r="D96" s="74"/>
      <c r="F96" s="19"/>
      <c r="H96" s="119"/>
      <c r="I96" s="75"/>
      <c r="J96" s="75"/>
      <c r="K96" s="74"/>
      <c r="L96" s="75"/>
      <c r="M96" s="99"/>
      <c r="S96" s="74"/>
    </row>
    <row r="97" spans="4:19" ht="26.1" customHeight="1" x14ac:dyDescent="0.25">
      <c r="D97" s="74"/>
      <c r="F97" s="19"/>
      <c r="H97" s="119"/>
      <c r="I97" s="75"/>
      <c r="J97" s="75"/>
      <c r="K97" s="74"/>
      <c r="L97" s="75"/>
      <c r="M97" s="99"/>
      <c r="S97" s="74"/>
    </row>
    <row r="98" spans="4:19" ht="26.1" customHeight="1" x14ac:dyDescent="0.25">
      <c r="D98" s="74"/>
      <c r="F98" s="19"/>
      <c r="H98" s="119"/>
      <c r="I98" s="75"/>
      <c r="J98" s="75"/>
      <c r="K98" s="74"/>
      <c r="L98" s="75"/>
      <c r="M98" s="99"/>
      <c r="S98" s="74"/>
    </row>
    <row r="99" spans="4:19" ht="26.1" customHeight="1" x14ac:dyDescent="0.25">
      <c r="D99" s="74"/>
      <c r="F99" s="19"/>
      <c r="H99" s="119"/>
      <c r="I99" s="75"/>
      <c r="J99" s="75"/>
      <c r="K99" s="74"/>
      <c r="L99" s="75"/>
      <c r="M99" s="99"/>
      <c r="S99" s="74"/>
    </row>
    <row r="100" spans="4:19" ht="26.1" customHeight="1" x14ac:dyDescent="0.25">
      <c r="D100" s="74"/>
      <c r="F100" s="19"/>
      <c r="H100" s="119"/>
      <c r="I100" s="75"/>
      <c r="J100" s="75"/>
      <c r="K100" s="74"/>
      <c r="L100" s="75"/>
      <c r="M100" s="99"/>
      <c r="S100" s="74"/>
    </row>
    <row r="101" spans="4:19" ht="26.1" customHeight="1" x14ac:dyDescent="0.25">
      <c r="D101" s="74"/>
      <c r="F101" s="19"/>
      <c r="H101" s="119"/>
      <c r="I101" s="75"/>
      <c r="J101" s="75"/>
      <c r="K101" s="74"/>
      <c r="L101" s="75"/>
      <c r="M101" s="99"/>
      <c r="S101" s="74"/>
    </row>
    <row r="102" spans="4:19" ht="26.1" customHeight="1" x14ac:dyDescent="0.25">
      <c r="D102" s="74"/>
      <c r="F102" s="19"/>
      <c r="H102" s="119"/>
      <c r="I102" s="75"/>
      <c r="J102" s="75"/>
      <c r="K102" s="74"/>
      <c r="L102" s="75"/>
      <c r="M102" s="99"/>
      <c r="S102" s="74"/>
    </row>
    <row r="103" spans="4:19" ht="26.1" customHeight="1" x14ac:dyDescent="0.25">
      <c r="D103" s="74"/>
      <c r="F103" s="19"/>
      <c r="H103" s="119"/>
      <c r="I103" s="75"/>
      <c r="J103" s="75"/>
      <c r="K103" s="74"/>
      <c r="L103" s="75"/>
      <c r="M103" s="99"/>
      <c r="S103" s="74"/>
    </row>
    <row r="104" spans="4:19" ht="26.1" customHeight="1" x14ac:dyDescent="0.25">
      <c r="D104" s="74"/>
      <c r="F104" s="19"/>
      <c r="H104" s="119"/>
      <c r="I104" s="75"/>
      <c r="J104" s="75"/>
      <c r="K104" s="74"/>
      <c r="L104" s="75"/>
      <c r="M104" s="99"/>
      <c r="S104" s="74"/>
    </row>
    <row r="105" spans="4:19" ht="26.1" customHeight="1" x14ac:dyDescent="0.25">
      <c r="D105" s="74"/>
      <c r="F105" s="19"/>
      <c r="H105" s="119"/>
      <c r="I105" s="75"/>
      <c r="J105" s="75"/>
      <c r="K105" s="74"/>
      <c r="L105" s="75"/>
      <c r="M105" s="99"/>
      <c r="S105" s="74"/>
    </row>
    <row r="106" spans="4:19" ht="26.1" customHeight="1" x14ac:dyDescent="0.25">
      <c r="D106" s="74"/>
      <c r="F106" s="19"/>
      <c r="H106" s="119"/>
      <c r="I106" s="75"/>
      <c r="J106" s="75"/>
      <c r="K106" s="74"/>
      <c r="L106" s="75"/>
      <c r="M106" s="99"/>
      <c r="S106" s="74"/>
    </row>
    <row r="107" spans="4:19" ht="26.1" customHeight="1" x14ac:dyDescent="0.25">
      <c r="D107" s="74"/>
      <c r="F107" s="19"/>
      <c r="H107" s="119"/>
      <c r="I107" s="75"/>
      <c r="J107" s="75"/>
      <c r="K107" s="74"/>
      <c r="L107" s="75"/>
      <c r="M107" s="99"/>
      <c r="S107" s="74"/>
    </row>
    <row r="108" spans="4:19" ht="26.1" customHeight="1" x14ac:dyDescent="0.25">
      <c r="D108" s="74"/>
      <c r="F108" s="19"/>
      <c r="H108" s="119"/>
      <c r="I108" s="75"/>
      <c r="J108" s="75"/>
      <c r="K108" s="74"/>
      <c r="L108" s="75"/>
      <c r="M108" s="99"/>
      <c r="S108" s="74"/>
    </row>
    <row r="109" spans="4:19" ht="26.1" customHeight="1" x14ac:dyDescent="0.25">
      <c r="D109" s="74"/>
      <c r="F109" s="19"/>
      <c r="H109" s="119"/>
      <c r="I109" s="75"/>
      <c r="J109" s="75"/>
      <c r="K109" s="74"/>
      <c r="L109" s="75"/>
      <c r="M109" s="99"/>
      <c r="S109" s="74"/>
    </row>
    <row r="110" spans="4:19" ht="26.1" customHeight="1" x14ac:dyDescent="0.25">
      <c r="D110" s="74"/>
      <c r="F110" s="19"/>
      <c r="H110" s="119"/>
      <c r="I110" s="75"/>
      <c r="J110" s="75"/>
      <c r="K110" s="74"/>
      <c r="L110" s="75"/>
      <c r="M110" s="99"/>
      <c r="S110" s="74"/>
    </row>
    <row r="111" spans="4:19" ht="26.1" customHeight="1" x14ac:dyDescent="0.25">
      <c r="D111" s="74"/>
      <c r="F111" s="19"/>
      <c r="H111" s="119"/>
      <c r="I111" s="75"/>
      <c r="J111" s="75"/>
      <c r="K111" s="74"/>
      <c r="L111" s="75"/>
      <c r="M111" s="99"/>
      <c r="S111" s="74"/>
    </row>
    <row r="112" spans="4:19" ht="26.1" customHeight="1" x14ac:dyDescent="0.25">
      <c r="D112" s="74"/>
      <c r="F112" s="19"/>
      <c r="H112" s="119"/>
      <c r="I112" s="75"/>
      <c r="J112" s="75"/>
      <c r="K112" s="74"/>
      <c r="L112" s="75"/>
      <c r="M112" s="99"/>
      <c r="S112" s="74"/>
    </row>
    <row r="113" spans="4:19" ht="26.1" customHeight="1" x14ac:dyDescent="0.25">
      <c r="D113" s="74"/>
      <c r="F113" s="19"/>
      <c r="H113" s="119"/>
      <c r="I113" s="75"/>
      <c r="J113" s="75"/>
      <c r="K113" s="74"/>
      <c r="L113" s="75"/>
      <c r="M113" s="99"/>
      <c r="S113" s="74"/>
    </row>
    <row r="114" spans="4:19" ht="26.1" customHeight="1" x14ac:dyDescent="0.25">
      <c r="D114" s="74"/>
      <c r="F114" s="19"/>
      <c r="H114" s="119"/>
      <c r="I114" s="75"/>
      <c r="J114" s="75"/>
      <c r="K114" s="74"/>
      <c r="L114" s="75"/>
      <c r="M114" s="99"/>
      <c r="S114" s="74"/>
    </row>
    <row r="115" spans="4:19" ht="26.1" customHeight="1" x14ac:dyDescent="0.25">
      <c r="D115" s="74"/>
      <c r="F115" s="19"/>
      <c r="H115" s="119"/>
      <c r="I115" s="75"/>
      <c r="J115" s="75"/>
      <c r="K115" s="74"/>
      <c r="L115" s="75"/>
      <c r="M115" s="99"/>
      <c r="S115" s="74"/>
    </row>
    <row r="116" spans="4:19" ht="26.1" customHeight="1" x14ac:dyDescent="0.25">
      <c r="D116" s="74"/>
      <c r="F116" s="19"/>
      <c r="H116" s="119"/>
      <c r="I116" s="75"/>
      <c r="J116" s="75"/>
      <c r="K116" s="74"/>
      <c r="L116" s="75"/>
      <c r="M116" s="99"/>
      <c r="S116" s="74"/>
    </row>
    <row r="117" spans="4:19" ht="26.1" customHeight="1" x14ac:dyDescent="0.25">
      <c r="D117" s="74"/>
      <c r="F117" s="19"/>
      <c r="H117" s="119"/>
      <c r="I117" s="75"/>
      <c r="J117" s="75"/>
      <c r="K117" s="74"/>
      <c r="L117" s="75"/>
      <c r="M117" s="99"/>
      <c r="S117" s="74"/>
    </row>
    <row r="118" spans="4:19" ht="26.1" customHeight="1" x14ac:dyDescent="0.25">
      <c r="D118" s="74"/>
      <c r="F118" s="19"/>
      <c r="H118" s="119"/>
      <c r="I118" s="75"/>
      <c r="J118" s="75"/>
      <c r="K118" s="74"/>
      <c r="L118" s="75"/>
      <c r="M118" s="99"/>
      <c r="S118" s="74"/>
    </row>
    <row r="119" spans="4:19" ht="26.1" customHeight="1" x14ac:dyDescent="0.25">
      <c r="D119" s="74"/>
      <c r="F119" s="19"/>
      <c r="H119" s="119"/>
      <c r="I119" s="75"/>
      <c r="J119" s="75"/>
      <c r="K119" s="74"/>
      <c r="L119" s="75"/>
      <c r="M119" s="99"/>
      <c r="S119" s="74"/>
    </row>
    <row r="120" spans="4:19" ht="26.1" customHeight="1" x14ac:dyDescent="0.25">
      <c r="D120" s="74"/>
      <c r="F120" s="19"/>
      <c r="H120" s="119"/>
      <c r="I120" s="75"/>
      <c r="J120" s="75"/>
      <c r="K120" s="74"/>
      <c r="L120" s="75"/>
      <c r="M120" s="99"/>
      <c r="S120" s="74"/>
    </row>
    <row r="121" spans="4:19" ht="26.1" customHeight="1" x14ac:dyDescent="0.25">
      <c r="D121" s="74"/>
      <c r="F121" s="19"/>
      <c r="H121" s="119"/>
      <c r="I121" s="75"/>
      <c r="J121" s="75"/>
      <c r="K121" s="74"/>
      <c r="L121" s="75"/>
      <c r="M121" s="99"/>
      <c r="S121" s="74"/>
    </row>
    <row r="122" spans="4:19" ht="26.1" customHeight="1" x14ac:dyDescent="0.25">
      <c r="D122" s="74"/>
      <c r="F122" s="19"/>
      <c r="H122" s="119"/>
      <c r="I122" s="75"/>
      <c r="J122" s="75"/>
      <c r="K122" s="74"/>
      <c r="L122" s="75"/>
      <c r="M122" s="99"/>
      <c r="S122" s="74"/>
    </row>
    <row r="123" spans="4:19" ht="26.1" customHeight="1" x14ac:dyDescent="0.25">
      <c r="D123" s="74"/>
      <c r="F123" s="19"/>
      <c r="H123" s="119"/>
      <c r="I123" s="75"/>
      <c r="J123" s="75"/>
      <c r="K123" s="74"/>
      <c r="L123" s="75"/>
      <c r="M123" s="99"/>
      <c r="S123" s="74"/>
    </row>
    <row r="124" spans="4:19" ht="26.1" customHeight="1" x14ac:dyDescent="0.25">
      <c r="D124" s="74"/>
      <c r="F124" s="19"/>
      <c r="H124" s="119"/>
      <c r="I124" s="75"/>
      <c r="J124" s="75"/>
      <c r="K124" s="74"/>
      <c r="L124" s="75"/>
      <c r="M124" s="99"/>
      <c r="S124" s="74"/>
    </row>
    <row r="125" spans="4:19" ht="26.1" customHeight="1" x14ac:dyDescent="0.25">
      <c r="D125" s="74"/>
      <c r="F125" s="19"/>
      <c r="H125" s="119"/>
      <c r="I125" s="75"/>
      <c r="J125" s="75"/>
      <c r="K125" s="74"/>
      <c r="L125" s="75"/>
      <c r="M125" s="99"/>
      <c r="S125" s="74"/>
    </row>
    <row r="126" spans="4:19" ht="26.1" customHeight="1" x14ac:dyDescent="0.25">
      <c r="D126" s="74"/>
      <c r="F126" s="19"/>
      <c r="H126" s="119"/>
      <c r="I126" s="75"/>
      <c r="J126" s="75"/>
      <c r="K126" s="74"/>
      <c r="L126" s="75"/>
      <c r="M126" s="99"/>
      <c r="S126" s="74"/>
    </row>
    <row r="127" spans="4:19" ht="26.1" customHeight="1" x14ac:dyDescent="0.25">
      <c r="D127" s="74"/>
      <c r="F127" s="19"/>
      <c r="H127" s="119"/>
      <c r="I127" s="75"/>
      <c r="J127" s="75"/>
      <c r="K127" s="74"/>
      <c r="L127" s="75"/>
      <c r="M127" s="99"/>
      <c r="S127" s="74"/>
    </row>
    <row r="128" spans="4:19" ht="26.1" customHeight="1" x14ac:dyDescent="0.25">
      <c r="D128" s="74"/>
      <c r="F128" s="19"/>
      <c r="H128" s="119"/>
      <c r="I128" s="75"/>
      <c r="J128" s="75"/>
      <c r="K128" s="74"/>
      <c r="L128" s="75"/>
      <c r="M128" s="99"/>
      <c r="S128" s="74"/>
    </row>
    <row r="129" spans="4:19" ht="26.1" customHeight="1" x14ac:dyDescent="0.25">
      <c r="D129" s="74"/>
      <c r="F129" s="19"/>
      <c r="H129" s="119"/>
      <c r="I129" s="75"/>
      <c r="J129" s="75"/>
      <c r="K129" s="74"/>
      <c r="L129" s="75"/>
      <c r="M129" s="99"/>
      <c r="S129" s="74"/>
    </row>
    <row r="130" spans="4:19" ht="26.1" customHeight="1" x14ac:dyDescent="0.25">
      <c r="D130" s="74"/>
      <c r="F130" s="19"/>
      <c r="H130" s="119"/>
      <c r="I130" s="75"/>
      <c r="J130" s="75"/>
      <c r="K130" s="74"/>
      <c r="L130" s="75"/>
      <c r="M130" s="99"/>
      <c r="S130" s="74"/>
    </row>
    <row r="131" spans="4:19" ht="26.1" customHeight="1" x14ac:dyDescent="0.25">
      <c r="D131" s="74"/>
      <c r="F131" s="19"/>
      <c r="H131" s="119"/>
      <c r="I131" s="75"/>
      <c r="J131" s="75"/>
      <c r="K131" s="74"/>
      <c r="L131" s="75"/>
      <c r="M131" s="99"/>
      <c r="S131" s="74"/>
    </row>
    <row r="132" spans="4:19" ht="26.1" customHeight="1" x14ac:dyDescent="0.25">
      <c r="D132" s="74"/>
      <c r="F132" s="19"/>
      <c r="H132" s="119"/>
      <c r="I132" s="75"/>
      <c r="J132" s="75"/>
      <c r="K132" s="74"/>
      <c r="L132" s="75"/>
      <c r="M132" s="99"/>
      <c r="S132" s="74"/>
    </row>
    <row r="133" spans="4:19" ht="26.1" customHeight="1" x14ac:dyDescent="0.25">
      <c r="D133" s="74"/>
      <c r="F133" s="19"/>
      <c r="H133" s="119"/>
      <c r="I133" s="75"/>
      <c r="J133" s="75"/>
      <c r="K133" s="74"/>
      <c r="L133" s="75"/>
      <c r="M133" s="99"/>
      <c r="S133" s="74"/>
    </row>
    <row r="134" spans="4:19" ht="26.1" customHeight="1" x14ac:dyDescent="0.25">
      <c r="D134" s="74"/>
      <c r="F134" s="19"/>
      <c r="H134" s="119"/>
      <c r="I134" s="75"/>
      <c r="J134" s="75"/>
      <c r="K134" s="74"/>
      <c r="L134" s="75"/>
      <c r="M134" s="99"/>
      <c r="S134" s="74"/>
    </row>
    <row r="135" spans="4:19" ht="26.1" customHeight="1" x14ac:dyDescent="0.25">
      <c r="D135" s="74"/>
      <c r="F135" s="19"/>
      <c r="H135" s="119"/>
      <c r="I135" s="75"/>
      <c r="J135" s="75"/>
      <c r="K135" s="74"/>
      <c r="L135" s="75"/>
      <c r="M135" s="99"/>
      <c r="S135" s="74"/>
    </row>
    <row r="136" spans="4:19" ht="26.1" customHeight="1" x14ac:dyDescent="0.25">
      <c r="D136" s="74"/>
      <c r="F136" s="19"/>
      <c r="H136" s="119"/>
      <c r="I136" s="75"/>
      <c r="J136" s="75"/>
      <c r="K136" s="74"/>
      <c r="L136" s="75"/>
      <c r="M136" s="99"/>
      <c r="S136" s="74"/>
    </row>
    <row r="137" spans="4:19" ht="26.1" customHeight="1" x14ac:dyDescent="0.25">
      <c r="D137" s="74"/>
      <c r="F137" s="19"/>
      <c r="H137" s="119"/>
      <c r="I137" s="75"/>
      <c r="J137" s="75"/>
      <c r="K137" s="74"/>
      <c r="L137" s="75"/>
      <c r="M137" s="99"/>
      <c r="S137" s="74"/>
    </row>
    <row r="138" spans="4:19" ht="26.1" customHeight="1" x14ac:dyDescent="0.25">
      <c r="D138" s="74"/>
      <c r="F138" s="19"/>
      <c r="H138" s="119"/>
      <c r="I138" s="75"/>
      <c r="J138" s="75"/>
      <c r="K138" s="74"/>
      <c r="L138" s="75"/>
      <c r="M138" s="99"/>
      <c r="S138" s="74"/>
    </row>
    <row r="139" spans="4:19" ht="26.1" customHeight="1" x14ac:dyDescent="0.25">
      <c r="D139" s="74"/>
      <c r="F139" s="19"/>
      <c r="H139" s="119"/>
      <c r="I139" s="75"/>
      <c r="J139" s="75"/>
      <c r="K139" s="74"/>
      <c r="L139" s="75"/>
      <c r="M139" s="99"/>
      <c r="S139" s="74"/>
    </row>
    <row r="140" spans="4:19" ht="26.1" customHeight="1" x14ac:dyDescent="0.25">
      <c r="D140" s="74"/>
      <c r="F140" s="19"/>
      <c r="H140" s="119"/>
      <c r="I140" s="75"/>
      <c r="J140" s="75"/>
      <c r="K140" s="74"/>
      <c r="L140" s="75"/>
      <c r="M140" s="99"/>
      <c r="S140" s="74"/>
    </row>
    <row r="141" spans="4:19" ht="26.1" customHeight="1" x14ac:dyDescent="0.25">
      <c r="D141" s="74"/>
      <c r="F141" s="19"/>
      <c r="H141" s="119"/>
      <c r="I141" s="75"/>
      <c r="J141" s="75"/>
      <c r="K141" s="74"/>
      <c r="L141" s="75"/>
      <c r="M141" s="99"/>
      <c r="S141" s="74"/>
    </row>
    <row r="142" spans="4:19" ht="26.1" customHeight="1" x14ac:dyDescent="0.25">
      <c r="D142" s="74"/>
      <c r="F142" s="19"/>
      <c r="H142" s="119"/>
      <c r="I142" s="75"/>
      <c r="J142" s="75"/>
      <c r="K142" s="74"/>
      <c r="L142" s="75"/>
      <c r="M142" s="99"/>
      <c r="S142" s="74"/>
    </row>
    <row r="143" spans="4:19" ht="26.1" customHeight="1" x14ac:dyDescent="0.25">
      <c r="D143" s="74"/>
      <c r="F143" s="19"/>
      <c r="H143" s="119"/>
      <c r="I143" s="75"/>
      <c r="J143" s="75"/>
      <c r="K143" s="74"/>
      <c r="L143" s="75"/>
      <c r="M143" s="99"/>
      <c r="S143" s="74"/>
    </row>
    <row r="144" spans="4:19" ht="26.1" customHeight="1" x14ac:dyDescent="0.25">
      <c r="D144" s="74"/>
      <c r="F144" s="19"/>
      <c r="H144" s="119"/>
      <c r="I144" s="75"/>
      <c r="J144" s="75"/>
      <c r="K144" s="74"/>
      <c r="L144" s="75"/>
      <c r="M144" s="99"/>
      <c r="S144" s="74"/>
    </row>
    <row r="145" spans="4:19" ht="26.1" customHeight="1" x14ac:dyDescent="0.25">
      <c r="D145" s="74"/>
      <c r="F145" s="19"/>
      <c r="H145" s="119"/>
      <c r="I145" s="75"/>
      <c r="J145" s="75"/>
      <c r="K145" s="74"/>
      <c r="L145" s="75"/>
      <c r="M145" s="99"/>
      <c r="S145" s="74"/>
    </row>
    <row r="146" spans="4:19" ht="26.1" customHeight="1" x14ac:dyDescent="0.25">
      <c r="D146" s="74"/>
      <c r="F146" s="19"/>
      <c r="H146" s="119"/>
      <c r="I146" s="75"/>
      <c r="J146" s="75"/>
      <c r="K146" s="74"/>
      <c r="L146" s="75"/>
      <c r="M146" s="99"/>
      <c r="S146" s="74"/>
    </row>
    <row r="147" spans="4:19" ht="26.1" customHeight="1" x14ac:dyDescent="0.25">
      <c r="D147" s="74"/>
      <c r="F147" s="19"/>
      <c r="H147" s="119"/>
      <c r="I147" s="75"/>
      <c r="J147" s="75"/>
      <c r="K147" s="74"/>
      <c r="L147" s="75"/>
      <c r="M147" s="99"/>
      <c r="S147" s="74"/>
    </row>
    <row r="148" spans="4:19" ht="26.1" customHeight="1" x14ac:dyDescent="0.25">
      <c r="D148" s="74"/>
      <c r="F148" s="19"/>
      <c r="H148" s="119"/>
      <c r="I148" s="75"/>
      <c r="J148" s="75"/>
      <c r="K148" s="74"/>
      <c r="L148" s="75"/>
      <c r="M148" s="99"/>
      <c r="S148" s="74"/>
    </row>
    <row r="149" spans="4:19" ht="26.1" customHeight="1" x14ac:dyDescent="0.25">
      <c r="D149" s="74"/>
      <c r="F149" s="19"/>
      <c r="H149" s="119"/>
      <c r="I149" s="75"/>
      <c r="J149" s="75"/>
      <c r="K149" s="74"/>
      <c r="L149" s="75"/>
      <c r="M149" s="99"/>
      <c r="S149" s="74"/>
    </row>
    <row r="150" spans="4:19" ht="26.1" customHeight="1" x14ac:dyDescent="0.25">
      <c r="D150" s="74"/>
      <c r="F150" s="19"/>
      <c r="H150" s="119"/>
      <c r="I150" s="75"/>
      <c r="J150" s="75"/>
      <c r="K150" s="74"/>
      <c r="L150" s="75"/>
      <c r="M150" s="99"/>
      <c r="S150" s="74"/>
    </row>
    <row r="151" spans="4:19" ht="26.1" customHeight="1" x14ac:dyDescent="0.25">
      <c r="D151" s="74"/>
      <c r="F151" s="19"/>
      <c r="H151" s="119"/>
      <c r="I151" s="75"/>
      <c r="J151" s="75"/>
      <c r="K151" s="74"/>
      <c r="L151" s="75"/>
      <c r="M151" s="99"/>
      <c r="S151" s="74"/>
    </row>
    <row r="152" spans="4:19" ht="26.1" customHeight="1" x14ac:dyDescent="0.25">
      <c r="D152" s="74"/>
      <c r="F152" s="19"/>
      <c r="H152" s="119"/>
      <c r="I152" s="75"/>
      <c r="J152" s="75"/>
      <c r="K152" s="74"/>
      <c r="L152" s="75"/>
      <c r="M152" s="99"/>
      <c r="S152" s="74"/>
    </row>
    <row r="153" spans="4:19" ht="26.1" customHeight="1" x14ac:dyDescent="0.25">
      <c r="D153" s="74"/>
      <c r="F153" s="19"/>
      <c r="H153" s="119"/>
      <c r="I153" s="75"/>
      <c r="J153" s="75"/>
      <c r="K153" s="74"/>
      <c r="L153" s="75"/>
      <c r="M153" s="99"/>
      <c r="S153" s="74"/>
    </row>
    <row r="154" spans="4:19" ht="26.1" customHeight="1" x14ac:dyDescent="0.25">
      <c r="D154" s="74"/>
      <c r="F154" s="19"/>
      <c r="H154" s="119"/>
      <c r="I154" s="75"/>
      <c r="J154" s="75"/>
      <c r="K154" s="74"/>
      <c r="L154" s="75"/>
      <c r="M154" s="99"/>
      <c r="S154" s="74"/>
    </row>
    <row r="155" spans="4:19" ht="26.1" customHeight="1" x14ac:dyDescent="0.25">
      <c r="D155" s="74"/>
      <c r="F155" s="19"/>
      <c r="H155" s="119"/>
      <c r="I155" s="75"/>
      <c r="J155" s="75"/>
      <c r="K155" s="74"/>
      <c r="L155" s="75"/>
      <c r="M155" s="99"/>
      <c r="S155" s="74"/>
    </row>
    <row r="156" spans="4:19" ht="26.1" customHeight="1" x14ac:dyDescent="0.25">
      <c r="D156" s="74"/>
      <c r="F156" s="19"/>
      <c r="H156" s="119"/>
      <c r="I156" s="75"/>
      <c r="J156" s="75"/>
      <c r="K156" s="74"/>
      <c r="L156" s="75"/>
      <c r="M156" s="99"/>
      <c r="S156" s="74"/>
    </row>
    <row r="157" spans="4:19" ht="26.1" customHeight="1" x14ac:dyDescent="0.25">
      <c r="D157" s="74"/>
      <c r="F157" s="19"/>
      <c r="H157" s="119"/>
      <c r="I157" s="75"/>
      <c r="J157" s="75"/>
      <c r="K157" s="74"/>
      <c r="L157" s="75"/>
      <c r="M157" s="99"/>
      <c r="S157" s="74"/>
    </row>
    <row r="158" spans="4:19" ht="26.1" customHeight="1" x14ac:dyDescent="0.25">
      <c r="D158" s="74"/>
      <c r="F158" s="19"/>
      <c r="H158" s="119"/>
      <c r="I158" s="75"/>
      <c r="J158" s="75"/>
      <c r="K158" s="74"/>
      <c r="L158" s="75"/>
      <c r="M158" s="99"/>
      <c r="S158" s="74"/>
    </row>
    <row r="159" spans="4:19" ht="26.1" customHeight="1" x14ac:dyDescent="0.25">
      <c r="D159" s="74"/>
      <c r="F159" s="19"/>
      <c r="H159" s="119"/>
      <c r="I159" s="75"/>
      <c r="J159" s="75"/>
      <c r="K159" s="74"/>
      <c r="L159" s="75"/>
      <c r="M159" s="99"/>
      <c r="S159" s="74"/>
    </row>
    <row r="160" spans="4:19" ht="26.1" customHeight="1" x14ac:dyDescent="0.25">
      <c r="D160" s="74"/>
      <c r="F160" s="19"/>
      <c r="H160" s="119"/>
      <c r="I160" s="75"/>
      <c r="J160" s="75"/>
      <c r="K160" s="74"/>
      <c r="L160" s="75"/>
      <c r="M160" s="99"/>
      <c r="S160" s="74"/>
    </row>
    <row r="161" spans="4:19" ht="26.1" customHeight="1" x14ac:dyDescent="0.25">
      <c r="D161" s="74"/>
      <c r="F161" s="19"/>
      <c r="H161" s="119"/>
      <c r="I161" s="75"/>
      <c r="J161" s="75"/>
      <c r="K161" s="74"/>
      <c r="L161" s="75"/>
      <c r="M161" s="99"/>
      <c r="S161" s="74"/>
    </row>
    <row r="162" spans="4:19" ht="26.1" customHeight="1" x14ac:dyDescent="0.25">
      <c r="D162" s="74"/>
      <c r="F162" s="19"/>
      <c r="H162" s="119"/>
      <c r="I162" s="75"/>
      <c r="J162" s="75"/>
      <c r="K162" s="74"/>
      <c r="L162" s="75"/>
      <c r="M162" s="99"/>
      <c r="S162" s="74"/>
    </row>
    <row r="163" spans="4:19" ht="26.1" customHeight="1" x14ac:dyDescent="0.25">
      <c r="D163" s="74"/>
      <c r="F163" s="19"/>
      <c r="H163" s="119"/>
      <c r="I163" s="75"/>
      <c r="J163" s="75"/>
      <c r="K163" s="74"/>
      <c r="L163" s="75"/>
      <c r="M163" s="99"/>
      <c r="S163" s="74"/>
    </row>
    <row r="164" spans="4:19" ht="26.1" customHeight="1" x14ac:dyDescent="0.25">
      <c r="D164" s="74"/>
      <c r="F164" s="19"/>
      <c r="H164" s="119"/>
      <c r="I164" s="75"/>
      <c r="J164" s="75"/>
      <c r="K164" s="74"/>
      <c r="L164" s="75"/>
      <c r="M164" s="99"/>
      <c r="S164" s="74"/>
    </row>
    <row r="165" spans="4:19" ht="26.1" customHeight="1" x14ac:dyDescent="0.25">
      <c r="D165" s="74"/>
      <c r="F165" s="19"/>
      <c r="H165" s="119"/>
      <c r="I165" s="75"/>
      <c r="J165" s="75"/>
      <c r="K165" s="74"/>
      <c r="L165" s="75"/>
      <c r="M165" s="99"/>
      <c r="S165" s="74"/>
    </row>
    <row r="166" spans="4:19" ht="26.1" customHeight="1" x14ac:dyDescent="0.25">
      <c r="D166" s="74"/>
      <c r="F166" s="19"/>
      <c r="H166" s="119"/>
      <c r="I166" s="75"/>
      <c r="J166" s="75"/>
      <c r="K166" s="74"/>
      <c r="L166" s="75"/>
      <c r="M166" s="99"/>
      <c r="S166" s="74"/>
    </row>
    <row r="167" spans="4:19" ht="26.1" customHeight="1" x14ac:dyDescent="0.25">
      <c r="D167" s="74"/>
      <c r="F167" s="19"/>
      <c r="H167" s="119"/>
      <c r="I167" s="75"/>
      <c r="J167" s="75"/>
      <c r="K167" s="74"/>
      <c r="L167" s="75"/>
      <c r="M167" s="99"/>
      <c r="S167" s="74"/>
    </row>
    <row r="168" spans="4:19" ht="26.1" customHeight="1" x14ac:dyDescent="0.25">
      <c r="D168" s="74"/>
      <c r="F168" s="19"/>
      <c r="H168" s="119"/>
      <c r="I168" s="75"/>
      <c r="J168" s="75"/>
      <c r="K168" s="74"/>
      <c r="L168" s="75"/>
      <c r="M168" s="99"/>
      <c r="S168" s="74"/>
    </row>
    <row r="169" spans="4:19" ht="26.1" customHeight="1" x14ac:dyDescent="0.25">
      <c r="D169" s="74"/>
      <c r="F169" s="19"/>
      <c r="H169" s="119"/>
      <c r="I169" s="75"/>
      <c r="J169" s="75"/>
      <c r="K169" s="74"/>
      <c r="L169" s="75"/>
      <c r="M169" s="99"/>
      <c r="S169" s="74"/>
    </row>
    <row r="170" spans="4:19" ht="26.1" customHeight="1" x14ac:dyDescent="0.25">
      <c r="D170" s="74"/>
      <c r="F170" s="19"/>
      <c r="H170" s="119"/>
      <c r="I170" s="75"/>
      <c r="J170" s="75"/>
      <c r="K170" s="74"/>
      <c r="L170" s="75"/>
      <c r="M170" s="99"/>
      <c r="S170" s="74"/>
    </row>
    <row r="171" spans="4:19" ht="26.1" customHeight="1" x14ac:dyDescent="0.25">
      <c r="D171" s="74"/>
      <c r="F171" s="19"/>
      <c r="H171" s="119"/>
      <c r="I171" s="75"/>
      <c r="J171" s="75"/>
      <c r="K171" s="74"/>
      <c r="L171" s="75"/>
      <c r="M171" s="99"/>
      <c r="S171" s="74"/>
    </row>
    <row r="172" spans="4:19" ht="26.1" customHeight="1" x14ac:dyDescent="0.25">
      <c r="D172" s="74"/>
      <c r="F172" s="19"/>
      <c r="H172" s="119"/>
      <c r="I172" s="75"/>
      <c r="J172" s="75"/>
      <c r="K172" s="74"/>
      <c r="L172" s="75"/>
      <c r="M172" s="99"/>
      <c r="S172" s="74"/>
    </row>
    <row r="173" spans="4:19" ht="26.1" customHeight="1" x14ac:dyDescent="0.25">
      <c r="D173" s="74"/>
      <c r="F173" s="19"/>
      <c r="H173" s="119"/>
      <c r="I173" s="75"/>
      <c r="J173" s="75"/>
      <c r="K173" s="74"/>
      <c r="L173" s="75"/>
      <c r="M173" s="99"/>
      <c r="S173" s="74"/>
    </row>
    <row r="174" spans="4:19" ht="26.1" customHeight="1" x14ac:dyDescent="0.25">
      <c r="D174" s="74"/>
      <c r="F174" s="19"/>
      <c r="H174" s="119"/>
      <c r="I174" s="75"/>
      <c r="J174" s="75"/>
      <c r="K174" s="74"/>
      <c r="L174" s="75"/>
      <c r="M174" s="99"/>
      <c r="S174" s="74"/>
    </row>
    <row r="175" spans="4:19" ht="26.1" customHeight="1" x14ac:dyDescent="0.25">
      <c r="D175" s="74"/>
      <c r="F175" s="19"/>
      <c r="H175" s="119"/>
      <c r="I175" s="75"/>
      <c r="J175" s="75"/>
      <c r="K175" s="74"/>
      <c r="L175" s="75"/>
      <c r="M175" s="99"/>
      <c r="S175" s="74"/>
    </row>
    <row r="176" spans="4:19" ht="26.1" customHeight="1" x14ac:dyDescent="0.25">
      <c r="D176" s="74"/>
      <c r="F176" s="19"/>
      <c r="H176" s="119"/>
      <c r="I176" s="75"/>
      <c r="J176" s="75"/>
      <c r="K176" s="74"/>
      <c r="L176" s="75"/>
      <c r="M176" s="99"/>
      <c r="S176" s="74"/>
    </row>
    <row r="177" spans="4:19" ht="26.1" customHeight="1" x14ac:dyDescent="0.25">
      <c r="D177" s="74"/>
      <c r="F177" s="19"/>
      <c r="H177" s="119"/>
      <c r="I177" s="75"/>
      <c r="J177" s="75"/>
      <c r="K177" s="74"/>
      <c r="L177" s="75"/>
      <c r="M177" s="99"/>
      <c r="S177" s="74"/>
    </row>
    <row r="178" spans="4:19" ht="26.1" customHeight="1" x14ac:dyDescent="0.25">
      <c r="D178" s="74"/>
      <c r="F178" s="19"/>
      <c r="H178" s="119"/>
      <c r="I178" s="75"/>
      <c r="J178" s="75"/>
      <c r="K178" s="74"/>
      <c r="L178" s="75"/>
      <c r="M178" s="99"/>
      <c r="S178" s="74"/>
    </row>
    <row r="179" spans="4:19" ht="26.1" customHeight="1" x14ac:dyDescent="0.25">
      <c r="D179" s="74"/>
      <c r="F179" s="19"/>
      <c r="H179" s="119"/>
      <c r="I179" s="75"/>
      <c r="J179" s="75"/>
      <c r="K179" s="74"/>
      <c r="L179" s="75"/>
      <c r="M179" s="99"/>
      <c r="S179" s="74"/>
    </row>
    <row r="180" spans="4:19" ht="26.1" customHeight="1" x14ac:dyDescent="0.25">
      <c r="D180" s="74"/>
      <c r="F180" s="19"/>
      <c r="H180" s="119"/>
      <c r="I180" s="75"/>
      <c r="J180" s="75"/>
      <c r="K180" s="74"/>
      <c r="L180" s="75"/>
      <c r="M180" s="99"/>
      <c r="S180" s="74"/>
    </row>
    <row r="181" spans="4:19" ht="26.1" customHeight="1" x14ac:dyDescent="0.25">
      <c r="D181" s="74"/>
      <c r="F181" s="19"/>
      <c r="H181" s="119"/>
      <c r="I181" s="75"/>
      <c r="J181" s="75"/>
      <c r="K181" s="74"/>
      <c r="L181" s="75"/>
      <c r="M181" s="99"/>
      <c r="S181" s="74"/>
    </row>
    <row r="182" spans="4:19" ht="26.1" customHeight="1" x14ac:dyDescent="0.25">
      <c r="D182" s="74"/>
      <c r="F182" s="19"/>
      <c r="H182" s="119"/>
      <c r="I182" s="75"/>
      <c r="J182" s="75"/>
      <c r="K182" s="74"/>
      <c r="L182" s="75"/>
      <c r="M182" s="99"/>
      <c r="S182" s="74"/>
    </row>
    <row r="183" spans="4:19" ht="26.1" customHeight="1" x14ac:dyDescent="0.25">
      <c r="D183" s="74"/>
      <c r="F183" s="19"/>
      <c r="H183" s="119"/>
      <c r="I183" s="75"/>
      <c r="J183" s="75"/>
      <c r="K183" s="74"/>
      <c r="L183" s="75"/>
      <c r="M183" s="99"/>
      <c r="S183" s="74"/>
    </row>
    <row r="184" spans="4:19" ht="26.1" customHeight="1" x14ac:dyDescent="0.25">
      <c r="D184" s="74"/>
      <c r="F184" s="19"/>
      <c r="H184" s="119"/>
      <c r="I184" s="75"/>
      <c r="J184" s="75"/>
      <c r="K184" s="74"/>
      <c r="L184" s="75"/>
      <c r="M184" s="99"/>
      <c r="S184" s="74"/>
    </row>
    <row r="185" spans="4:19" ht="26.1" customHeight="1" x14ac:dyDescent="0.25">
      <c r="D185" s="74"/>
      <c r="F185" s="19"/>
      <c r="H185" s="119"/>
      <c r="I185" s="75"/>
      <c r="J185" s="75"/>
      <c r="K185" s="74"/>
      <c r="L185" s="75"/>
      <c r="M185" s="99"/>
      <c r="S185" s="74"/>
    </row>
    <row r="186" spans="4:19" ht="26.1" customHeight="1" x14ac:dyDescent="0.25">
      <c r="D186" s="74"/>
      <c r="F186" s="19"/>
      <c r="H186" s="119"/>
      <c r="I186" s="75"/>
      <c r="J186" s="75"/>
      <c r="K186" s="74"/>
      <c r="L186" s="75"/>
      <c r="M186" s="99"/>
      <c r="S186" s="74"/>
    </row>
    <row r="187" spans="4:19" ht="26.1" customHeight="1" x14ac:dyDescent="0.25">
      <c r="D187" s="74"/>
      <c r="F187" s="19"/>
      <c r="H187" s="119"/>
      <c r="I187" s="75"/>
      <c r="J187" s="75"/>
      <c r="K187" s="74"/>
      <c r="L187" s="75"/>
      <c r="M187" s="99"/>
      <c r="S187" s="74"/>
    </row>
    <row r="188" spans="4:19" ht="26.1" customHeight="1" x14ac:dyDescent="0.25">
      <c r="D188" s="74"/>
      <c r="F188" s="19"/>
      <c r="H188" s="119"/>
      <c r="I188" s="75"/>
      <c r="J188" s="75"/>
      <c r="K188" s="74"/>
      <c r="L188" s="75"/>
      <c r="M188" s="99"/>
      <c r="S188" s="74"/>
    </row>
    <row r="189" spans="4:19" ht="26.1" customHeight="1" x14ac:dyDescent="0.25">
      <c r="D189" s="74"/>
      <c r="F189" s="19"/>
      <c r="H189" s="119"/>
      <c r="I189" s="75"/>
      <c r="J189" s="75"/>
      <c r="K189" s="74"/>
      <c r="L189" s="75"/>
      <c r="M189" s="99"/>
      <c r="S189" s="74"/>
    </row>
    <row r="190" spans="4:19" ht="26.1" customHeight="1" x14ac:dyDescent="0.25">
      <c r="D190" s="74"/>
      <c r="F190" s="19"/>
      <c r="H190" s="119"/>
      <c r="I190" s="75"/>
      <c r="J190" s="75"/>
      <c r="K190" s="74"/>
      <c r="L190" s="75"/>
      <c r="M190" s="99"/>
      <c r="S190" s="74"/>
    </row>
    <row r="191" spans="4:19" ht="26.1" customHeight="1" x14ac:dyDescent="0.25">
      <c r="D191" s="74"/>
      <c r="F191" s="19"/>
      <c r="H191" s="119"/>
      <c r="I191" s="75"/>
      <c r="J191" s="75"/>
      <c r="K191" s="74"/>
      <c r="L191" s="75"/>
      <c r="M191" s="99"/>
      <c r="S191" s="74"/>
    </row>
    <row r="192" spans="4:19" ht="26.1" customHeight="1" x14ac:dyDescent="0.25">
      <c r="D192" s="74"/>
      <c r="F192" s="19"/>
      <c r="H192" s="119"/>
      <c r="I192" s="75"/>
      <c r="J192" s="75"/>
      <c r="K192" s="74"/>
      <c r="L192" s="75"/>
      <c r="M192" s="99"/>
      <c r="S192" s="74"/>
    </row>
    <row r="193" spans="4:19" ht="26.1" customHeight="1" x14ac:dyDescent="0.25">
      <c r="D193" s="74"/>
      <c r="F193" s="19"/>
      <c r="H193" s="119"/>
      <c r="I193" s="75"/>
      <c r="J193" s="75"/>
      <c r="K193" s="74"/>
      <c r="L193" s="75"/>
      <c r="M193" s="99"/>
      <c r="S193" s="74"/>
    </row>
    <row r="194" spans="4:19" ht="26.1" customHeight="1" x14ac:dyDescent="0.25">
      <c r="D194" s="74"/>
      <c r="F194" s="19"/>
      <c r="H194" s="119"/>
      <c r="I194" s="75"/>
      <c r="J194" s="75"/>
      <c r="K194" s="74"/>
      <c r="L194" s="75"/>
      <c r="M194" s="99"/>
      <c r="S194" s="74"/>
    </row>
    <row r="195" spans="4:19" ht="26.1" customHeight="1" x14ac:dyDescent="0.25">
      <c r="D195" s="74"/>
      <c r="F195" s="19"/>
      <c r="H195" s="119"/>
      <c r="I195" s="75"/>
      <c r="J195" s="75"/>
      <c r="K195" s="74"/>
      <c r="L195" s="75"/>
      <c r="M195" s="99"/>
      <c r="S195" s="74"/>
    </row>
    <row r="196" spans="4:19" ht="26.1" customHeight="1" x14ac:dyDescent="0.25">
      <c r="D196" s="74"/>
      <c r="F196" s="19"/>
      <c r="H196" s="119"/>
      <c r="I196" s="75"/>
      <c r="J196" s="75"/>
      <c r="K196" s="74"/>
      <c r="L196" s="75"/>
      <c r="M196" s="99"/>
      <c r="S196" s="74"/>
    </row>
    <row r="197" spans="4:19" ht="26.1" customHeight="1" x14ac:dyDescent="0.25">
      <c r="D197" s="74"/>
      <c r="F197" s="19"/>
      <c r="H197" s="119"/>
      <c r="I197" s="75"/>
      <c r="J197" s="75"/>
      <c r="K197" s="74"/>
      <c r="L197" s="75"/>
      <c r="M197" s="99"/>
      <c r="S197" s="74"/>
    </row>
    <row r="198" spans="4:19" ht="26.1" customHeight="1" x14ac:dyDescent="0.25">
      <c r="D198" s="74"/>
      <c r="F198" s="19"/>
      <c r="H198" s="119"/>
      <c r="I198" s="75"/>
      <c r="J198" s="75"/>
      <c r="K198" s="74"/>
      <c r="L198" s="75"/>
      <c r="M198" s="99"/>
      <c r="S198" s="74"/>
    </row>
    <row r="199" spans="4:19" ht="26.1" customHeight="1" x14ac:dyDescent="0.25">
      <c r="D199" s="74"/>
      <c r="F199" s="19"/>
      <c r="H199" s="119"/>
      <c r="I199" s="75"/>
      <c r="J199" s="75"/>
      <c r="K199" s="74"/>
      <c r="L199" s="75"/>
      <c r="M199" s="99"/>
      <c r="S199" s="74"/>
    </row>
    <row r="200" spans="4:19" ht="26.1" customHeight="1" x14ac:dyDescent="0.25">
      <c r="D200" s="74"/>
      <c r="F200" s="19"/>
      <c r="H200" s="119"/>
      <c r="I200" s="75"/>
      <c r="J200" s="75"/>
      <c r="K200" s="74"/>
      <c r="L200" s="75"/>
      <c r="M200" s="99"/>
      <c r="S200" s="74"/>
    </row>
    <row r="201" spans="4:19" ht="26.1" customHeight="1" x14ac:dyDescent="0.25">
      <c r="D201" s="74"/>
      <c r="F201" s="19"/>
      <c r="H201" s="119"/>
      <c r="I201" s="75"/>
      <c r="J201" s="75"/>
      <c r="K201" s="74"/>
      <c r="L201" s="75"/>
      <c r="M201" s="99"/>
      <c r="S201" s="74"/>
    </row>
    <row r="202" spans="4:19" ht="26.1" customHeight="1" x14ac:dyDescent="0.25">
      <c r="D202" s="74"/>
      <c r="F202" s="19"/>
      <c r="H202" s="119"/>
      <c r="I202" s="75"/>
      <c r="J202" s="75"/>
      <c r="K202" s="74"/>
      <c r="L202" s="75"/>
      <c r="M202" s="99"/>
      <c r="S202" s="74"/>
    </row>
    <row r="203" spans="4:19" ht="26.1" customHeight="1" x14ac:dyDescent="0.25">
      <c r="D203" s="74"/>
      <c r="F203" s="19"/>
      <c r="H203" s="119"/>
      <c r="I203" s="75"/>
      <c r="J203" s="75"/>
      <c r="K203" s="74"/>
      <c r="L203" s="75"/>
      <c r="M203" s="99"/>
      <c r="S203" s="74"/>
    </row>
    <row r="204" spans="4:19" ht="26.1" customHeight="1" x14ac:dyDescent="0.25">
      <c r="D204" s="74"/>
      <c r="F204" s="19"/>
      <c r="H204" s="119"/>
      <c r="I204" s="75"/>
      <c r="J204" s="75"/>
      <c r="K204" s="74"/>
      <c r="L204" s="75"/>
      <c r="M204" s="99"/>
      <c r="S204" s="74"/>
    </row>
    <row r="205" spans="4:19" ht="26.1" customHeight="1" x14ac:dyDescent="0.25">
      <c r="D205" s="74"/>
      <c r="F205" s="19"/>
      <c r="H205" s="119"/>
      <c r="I205" s="75"/>
      <c r="J205" s="75"/>
      <c r="K205" s="74"/>
      <c r="L205" s="75"/>
      <c r="M205" s="99"/>
      <c r="S205" s="74"/>
    </row>
    <row r="206" spans="4:19" ht="26.1" customHeight="1" x14ac:dyDescent="0.25">
      <c r="D206" s="74"/>
      <c r="F206" s="19"/>
      <c r="H206" s="119"/>
      <c r="I206" s="75"/>
      <c r="J206" s="75"/>
      <c r="K206" s="74"/>
      <c r="L206" s="75"/>
      <c r="M206" s="99"/>
      <c r="S206" s="74"/>
    </row>
    <row r="207" spans="4:19" ht="26.1" customHeight="1" x14ac:dyDescent="0.25">
      <c r="D207" s="74"/>
      <c r="F207" s="19"/>
      <c r="H207" s="119"/>
      <c r="I207" s="75"/>
      <c r="J207" s="75"/>
      <c r="K207" s="74"/>
      <c r="L207" s="75"/>
      <c r="M207" s="99"/>
      <c r="S207" s="74"/>
    </row>
    <row r="208" spans="4:19" ht="26.1" customHeight="1" x14ac:dyDescent="0.25">
      <c r="D208" s="74"/>
      <c r="F208" s="19"/>
      <c r="H208" s="119"/>
      <c r="I208" s="75"/>
      <c r="J208" s="75"/>
      <c r="K208" s="74"/>
      <c r="L208" s="75"/>
      <c r="M208" s="99"/>
      <c r="S208" s="74"/>
    </row>
    <row r="209" spans="4:19" ht="26.1" customHeight="1" x14ac:dyDescent="0.25">
      <c r="D209" s="74"/>
      <c r="F209" s="19"/>
      <c r="H209" s="119"/>
      <c r="I209" s="75"/>
      <c r="J209" s="75"/>
      <c r="K209" s="74"/>
      <c r="L209" s="75"/>
      <c r="M209" s="99"/>
      <c r="S209" s="74"/>
    </row>
    <row r="210" spans="4:19" ht="26.1" customHeight="1" x14ac:dyDescent="0.25">
      <c r="D210" s="74"/>
      <c r="F210" s="19"/>
      <c r="H210" s="119"/>
      <c r="I210" s="75"/>
      <c r="J210" s="75"/>
      <c r="K210" s="74"/>
      <c r="L210" s="75"/>
      <c r="M210" s="99"/>
      <c r="S210" s="74"/>
    </row>
    <row r="211" spans="4:19" ht="26.1" customHeight="1" x14ac:dyDescent="0.25">
      <c r="D211" s="74"/>
      <c r="F211" s="19"/>
      <c r="H211" s="119"/>
      <c r="I211" s="75"/>
      <c r="J211" s="75"/>
      <c r="K211" s="74"/>
      <c r="L211" s="75"/>
      <c r="M211" s="99"/>
      <c r="S211" s="74"/>
    </row>
    <row r="212" spans="4:19" ht="26.1" customHeight="1" x14ac:dyDescent="0.25">
      <c r="D212" s="74"/>
      <c r="F212" s="19"/>
      <c r="H212" s="119"/>
      <c r="I212" s="75"/>
      <c r="J212" s="75"/>
      <c r="K212" s="74"/>
      <c r="L212" s="75"/>
      <c r="M212" s="99"/>
      <c r="S212" s="74"/>
    </row>
    <row r="213" spans="4:19" ht="26.1" customHeight="1" x14ac:dyDescent="0.25">
      <c r="D213" s="74"/>
      <c r="F213" s="19"/>
      <c r="H213" s="119"/>
      <c r="I213" s="75"/>
      <c r="J213" s="75"/>
      <c r="K213" s="74"/>
      <c r="L213" s="75"/>
      <c r="M213" s="99"/>
      <c r="S213" s="74"/>
    </row>
    <row r="214" spans="4:19" ht="26.1" customHeight="1" x14ac:dyDescent="0.25">
      <c r="D214" s="74"/>
      <c r="F214" s="19"/>
      <c r="H214" s="119"/>
      <c r="I214" s="75"/>
      <c r="J214" s="75"/>
      <c r="K214" s="74"/>
      <c r="L214" s="75"/>
      <c r="M214" s="99"/>
      <c r="S214" s="74"/>
    </row>
    <row r="215" spans="4:19" ht="26.1" customHeight="1" x14ac:dyDescent="0.25">
      <c r="D215" s="74"/>
      <c r="F215" s="19"/>
      <c r="H215" s="119"/>
      <c r="I215" s="75"/>
      <c r="J215" s="75"/>
      <c r="K215" s="74"/>
      <c r="L215" s="75"/>
      <c r="M215" s="99"/>
      <c r="S215" s="74"/>
    </row>
    <row r="216" spans="4:19" ht="26.1" customHeight="1" x14ac:dyDescent="0.25">
      <c r="D216" s="74"/>
      <c r="F216" s="19"/>
      <c r="H216" s="119"/>
      <c r="I216" s="75"/>
      <c r="J216" s="75"/>
      <c r="K216" s="74"/>
      <c r="L216" s="75"/>
      <c r="M216" s="99"/>
      <c r="S216" s="74"/>
    </row>
    <row r="217" spans="4:19" ht="26.1" customHeight="1" x14ac:dyDescent="0.25">
      <c r="D217" s="74"/>
      <c r="F217" s="19"/>
      <c r="H217" s="119"/>
      <c r="I217" s="75"/>
      <c r="J217" s="75"/>
      <c r="K217" s="74"/>
      <c r="L217" s="75"/>
      <c r="M217" s="99"/>
      <c r="S217" s="74"/>
    </row>
    <row r="218" spans="4:19" ht="26.1" customHeight="1" x14ac:dyDescent="0.25">
      <c r="D218" s="74"/>
      <c r="F218" s="19"/>
      <c r="H218" s="119"/>
      <c r="I218" s="75"/>
      <c r="J218" s="75"/>
      <c r="K218" s="74"/>
      <c r="L218" s="75"/>
      <c r="M218" s="99"/>
      <c r="S218" s="74"/>
    </row>
    <row r="219" spans="4:19" ht="26.1" customHeight="1" x14ac:dyDescent="0.25">
      <c r="D219" s="74"/>
      <c r="F219" s="19"/>
      <c r="H219" s="119"/>
      <c r="I219" s="75"/>
      <c r="J219" s="75"/>
      <c r="K219" s="74"/>
      <c r="L219" s="75"/>
      <c r="M219" s="99"/>
      <c r="S219" s="74"/>
    </row>
    <row r="220" spans="4:19" ht="26.1" customHeight="1" x14ac:dyDescent="0.25">
      <c r="D220" s="74"/>
      <c r="F220" s="19"/>
      <c r="H220" s="119"/>
      <c r="I220" s="75"/>
      <c r="J220" s="75"/>
      <c r="K220" s="74"/>
      <c r="L220" s="75"/>
      <c r="M220" s="99"/>
      <c r="S220" s="74"/>
    </row>
    <row r="221" spans="4:19" ht="26.1" customHeight="1" x14ac:dyDescent="0.25">
      <c r="D221" s="74"/>
      <c r="F221" s="19"/>
      <c r="H221" s="119"/>
      <c r="I221" s="75"/>
      <c r="J221" s="75"/>
      <c r="K221" s="74"/>
      <c r="L221" s="75"/>
      <c r="M221" s="99"/>
      <c r="S221" s="74"/>
    </row>
    <row r="222" spans="4:19" ht="26.1" customHeight="1" x14ac:dyDescent="0.25">
      <c r="D222" s="74"/>
      <c r="F222" s="19"/>
      <c r="H222" s="119"/>
      <c r="I222" s="75"/>
      <c r="J222" s="75"/>
      <c r="K222" s="74"/>
      <c r="L222" s="75"/>
      <c r="M222" s="99"/>
      <c r="S222" s="74"/>
    </row>
    <row r="223" spans="4:19" ht="26.1" customHeight="1" x14ac:dyDescent="0.25">
      <c r="D223" s="74"/>
      <c r="F223" s="19"/>
      <c r="H223" s="119"/>
      <c r="I223" s="75"/>
      <c r="J223" s="75"/>
      <c r="K223" s="74"/>
      <c r="L223" s="75"/>
      <c r="M223" s="99"/>
      <c r="S223" s="74"/>
    </row>
    <row r="224" spans="4:19" ht="26.1" customHeight="1" x14ac:dyDescent="0.25">
      <c r="D224" s="74"/>
      <c r="F224" s="19"/>
      <c r="H224" s="119"/>
      <c r="I224" s="75"/>
      <c r="J224" s="75"/>
      <c r="K224" s="74"/>
      <c r="L224" s="75"/>
      <c r="M224" s="99"/>
      <c r="S224" s="74"/>
    </row>
    <row r="225" spans="4:19" ht="26.1" customHeight="1" x14ac:dyDescent="0.25">
      <c r="D225" s="74"/>
      <c r="F225" s="19"/>
      <c r="H225" s="119"/>
      <c r="I225" s="75"/>
      <c r="J225" s="75"/>
      <c r="K225" s="74"/>
      <c r="L225" s="75"/>
      <c r="M225" s="99"/>
      <c r="S225" s="74"/>
    </row>
    <row r="226" spans="4:19" ht="26.1" customHeight="1" x14ac:dyDescent="0.25">
      <c r="D226" s="74"/>
      <c r="F226" s="19"/>
      <c r="H226" s="119"/>
      <c r="I226" s="75"/>
      <c r="J226" s="75"/>
      <c r="K226" s="74"/>
      <c r="L226" s="75"/>
      <c r="M226" s="99"/>
      <c r="S226" s="74"/>
    </row>
    <row r="227" spans="4:19" ht="26.1" customHeight="1" x14ac:dyDescent="0.25">
      <c r="D227" s="74"/>
      <c r="F227" s="19"/>
      <c r="H227" s="119"/>
      <c r="I227" s="75"/>
      <c r="J227" s="75"/>
      <c r="K227" s="74"/>
      <c r="L227" s="75"/>
      <c r="M227" s="99"/>
      <c r="S227" s="74"/>
    </row>
    <row r="228" spans="4:19" ht="26.1" customHeight="1" x14ac:dyDescent="0.25">
      <c r="D228" s="74"/>
      <c r="F228" s="19"/>
      <c r="H228" s="119"/>
      <c r="I228" s="75"/>
      <c r="J228" s="75"/>
      <c r="K228" s="74"/>
      <c r="L228" s="75"/>
      <c r="M228" s="99"/>
      <c r="S228" s="74"/>
    </row>
    <row r="229" spans="4:19" ht="26.1" customHeight="1" x14ac:dyDescent="0.25">
      <c r="D229" s="74"/>
      <c r="F229" s="19"/>
      <c r="H229" s="119"/>
      <c r="I229" s="75"/>
      <c r="J229" s="75"/>
      <c r="K229" s="74"/>
      <c r="L229" s="75"/>
      <c r="M229" s="99"/>
      <c r="S229" s="74"/>
    </row>
    <row r="230" spans="4:19" ht="26.1" customHeight="1" x14ac:dyDescent="0.25">
      <c r="D230" s="74"/>
      <c r="F230" s="19"/>
      <c r="H230" s="119"/>
      <c r="I230" s="75"/>
      <c r="J230" s="75"/>
      <c r="K230" s="74"/>
      <c r="L230" s="75"/>
      <c r="M230" s="99"/>
      <c r="S230" s="74"/>
    </row>
    <row r="231" spans="4:19" ht="26.1" customHeight="1" x14ac:dyDescent="0.25">
      <c r="D231" s="74"/>
      <c r="F231" s="19"/>
      <c r="H231" s="119"/>
      <c r="I231" s="75"/>
      <c r="J231" s="75"/>
      <c r="K231" s="74"/>
      <c r="L231" s="75"/>
      <c r="M231" s="99"/>
      <c r="S231" s="74"/>
    </row>
    <row r="232" spans="4:19" ht="26.1" customHeight="1" x14ac:dyDescent="0.25">
      <c r="D232" s="74"/>
      <c r="F232" s="19"/>
      <c r="H232" s="119"/>
      <c r="I232" s="75"/>
      <c r="J232" s="75"/>
      <c r="K232" s="74"/>
      <c r="L232" s="75"/>
      <c r="M232" s="99"/>
      <c r="S232" s="74"/>
    </row>
    <row r="233" spans="4:19" ht="26.1" customHeight="1" x14ac:dyDescent="0.25">
      <c r="D233" s="74"/>
      <c r="F233" s="19"/>
      <c r="H233" s="119"/>
      <c r="I233" s="75"/>
      <c r="J233" s="75"/>
      <c r="K233" s="74"/>
      <c r="L233" s="75"/>
      <c r="M233" s="99"/>
      <c r="S233" s="74"/>
    </row>
    <row r="234" spans="4:19" ht="26.1" customHeight="1" x14ac:dyDescent="0.25">
      <c r="D234" s="74"/>
      <c r="F234" s="19"/>
      <c r="H234" s="119"/>
      <c r="I234" s="75"/>
      <c r="J234" s="75"/>
      <c r="K234" s="74"/>
      <c r="L234" s="75"/>
      <c r="M234" s="99"/>
      <c r="S234" s="74"/>
    </row>
    <row r="235" spans="4:19" ht="26.1" customHeight="1" x14ac:dyDescent="0.25">
      <c r="D235" s="74"/>
      <c r="F235" s="19"/>
      <c r="H235" s="119"/>
      <c r="I235" s="75"/>
      <c r="J235" s="75"/>
      <c r="K235" s="74"/>
      <c r="L235" s="75"/>
      <c r="M235" s="99"/>
      <c r="S235" s="74"/>
    </row>
    <row r="236" spans="4:19" ht="26.1" customHeight="1" x14ac:dyDescent="0.25">
      <c r="D236" s="74"/>
      <c r="F236" s="19"/>
      <c r="H236" s="119"/>
      <c r="I236" s="75"/>
      <c r="J236" s="75"/>
      <c r="K236" s="74"/>
      <c r="L236" s="75"/>
      <c r="M236" s="99"/>
      <c r="S236" s="74"/>
    </row>
    <row r="237" spans="4:19" ht="26.1" customHeight="1" x14ac:dyDescent="0.25">
      <c r="D237" s="74"/>
      <c r="F237" s="19"/>
      <c r="H237" s="119"/>
      <c r="I237" s="75"/>
      <c r="J237" s="75"/>
      <c r="K237" s="74"/>
      <c r="L237" s="75"/>
      <c r="M237" s="99"/>
      <c r="S237" s="74"/>
    </row>
    <row r="238" spans="4:19" ht="26.1" customHeight="1" x14ac:dyDescent="0.25">
      <c r="D238" s="74"/>
      <c r="F238" s="19"/>
      <c r="H238" s="119"/>
      <c r="I238" s="75"/>
      <c r="J238" s="75"/>
      <c r="K238" s="74"/>
      <c r="L238" s="75"/>
      <c r="M238" s="99"/>
      <c r="S238" s="74"/>
    </row>
    <row r="239" spans="4:19" ht="26.1" customHeight="1" x14ac:dyDescent="0.25">
      <c r="D239" s="74"/>
      <c r="F239" s="19"/>
      <c r="H239" s="119"/>
      <c r="I239" s="75"/>
      <c r="J239" s="75"/>
      <c r="K239" s="74"/>
      <c r="L239" s="75"/>
      <c r="M239" s="99"/>
      <c r="S239" s="74"/>
    </row>
    <row r="240" spans="4:19" ht="26.1" customHeight="1" x14ac:dyDescent="0.25">
      <c r="D240" s="74"/>
      <c r="F240" s="19"/>
      <c r="H240" s="119"/>
      <c r="I240" s="75"/>
      <c r="J240" s="75"/>
      <c r="K240" s="74"/>
      <c r="L240" s="75"/>
      <c r="M240" s="99"/>
      <c r="S240" s="74"/>
    </row>
    <row r="241" spans="4:19" ht="26.1" customHeight="1" x14ac:dyDescent="0.25">
      <c r="D241" s="74"/>
      <c r="F241" s="19"/>
      <c r="H241" s="119"/>
      <c r="I241" s="75"/>
      <c r="J241" s="75"/>
      <c r="K241" s="74"/>
      <c r="L241" s="75"/>
      <c r="M241" s="99"/>
      <c r="S241" s="74"/>
    </row>
    <row r="242" spans="4:19" ht="26.1" customHeight="1" x14ac:dyDescent="0.25">
      <c r="D242" s="74"/>
      <c r="F242" s="19"/>
      <c r="H242" s="119"/>
      <c r="I242" s="75"/>
      <c r="J242" s="75"/>
      <c r="K242" s="74"/>
      <c r="L242" s="75"/>
      <c r="M242" s="99"/>
      <c r="S242" s="74"/>
    </row>
    <row r="243" spans="4:19" ht="26.1" customHeight="1" x14ac:dyDescent="0.25">
      <c r="D243" s="74"/>
      <c r="F243" s="19"/>
      <c r="H243" s="119"/>
      <c r="I243" s="75"/>
      <c r="J243" s="75"/>
      <c r="K243" s="74"/>
      <c r="L243" s="75"/>
      <c r="M243" s="99"/>
      <c r="S243" s="74"/>
    </row>
    <row r="244" spans="4:19" ht="26.1" customHeight="1" x14ac:dyDescent="0.25">
      <c r="D244" s="74"/>
      <c r="F244" s="19"/>
      <c r="H244" s="119"/>
      <c r="I244" s="75"/>
      <c r="J244" s="75"/>
      <c r="K244" s="74"/>
      <c r="L244" s="75"/>
      <c r="M244" s="99"/>
      <c r="S244" s="74"/>
    </row>
    <row r="245" spans="4:19" ht="26.1" customHeight="1" x14ac:dyDescent="0.25">
      <c r="D245" s="74"/>
      <c r="F245" s="19"/>
      <c r="H245" s="119"/>
      <c r="I245" s="75"/>
      <c r="J245" s="75"/>
      <c r="K245" s="74"/>
      <c r="L245" s="75"/>
      <c r="M245" s="99"/>
      <c r="S245" s="74"/>
    </row>
    <row r="246" spans="4:19" ht="26.1" customHeight="1" x14ac:dyDescent="0.25">
      <c r="D246" s="74"/>
      <c r="F246" s="19"/>
      <c r="H246" s="119"/>
      <c r="I246" s="75"/>
      <c r="J246" s="75"/>
      <c r="K246" s="74"/>
      <c r="L246" s="75"/>
      <c r="M246" s="99"/>
      <c r="S246" s="74"/>
    </row>
    <row r="247" spans="4:19" ht="26.1" customHeight="1" x14ac:dyDescent="0.25">
      <c r="D247" s="74"/>
      <c r="F247" s="19"/>
      <c r="H247" s="119"/>
      <c r="I247" s="75"/>
      <c r="J247" s="75"/>
      <c r="K247" s="74"/>
      <c r="L247" s="75"/>
      <c r="M247" s="99"/>
      <c r="S247" s="74"/>
    </row>
    <row r="248" spans="4:19" ht="26.1" customHeight="1" x14ac:dyDescent="0.25">
      <c r="D248" s="74"/>
      <c r="F248" s="19"/>
      <c r="H248" s="119"/>
      <c r="I248" s="75"/>
      <c r="J248" s="75"/>
      <c r="K248" s="74"/>
      <c r="L248" s="75"/>
      <c r="M248" s="99"/>
      <c r="S248" s="74"/>
    </row>
    <row r="249" spans="4:19" ht="26.1" customHeight="1" x14ac:dyDescent="0.25">
      <c r="D249" s="74"/>
      <c r="F249" s="19"/>
      <c r="H249" s="119"/>
      <c r="I249" s="75"/>
      <c r="J249" s="75"/>
      <c r="K249" s="74"/>
      <c r="L249" s="75"/>
      <c r="M249" s="99"/>
      <c r="S249" s="74"/>
    </row>
    <row r="250" spans="4:19" ht="26.1" customHeight="1" x14ac:dyDescent="0.25">
      <c r="D250" s="74"/>
      <c r="F250" s="19"/>
      <c r="H250" s="119"/>
      <c r="I250" s="75"/>
      <c r="J250" s="75"/>
      <c r="K250" s="74"/>
      <c r="L250" s="75"/>
      <c r="M250" s="99"/>
      <c r="S250" s="74"/>
    </row>
    <row r="251" spans="4:19" ht="26.1" customHeight="1" x14ac:dyDescent="0.25">
      <c r="D251" s="74"/>
      <c r="F251" s="19"/>
      <c r="H251" s="119"/>
      <c r="I251" s="75"/>
      <c r="J251" s="75"/>
      <c r="K251" s="74"/>
      <c r="L251" s="75"/>
      <c r="M251" s="99"/>
      <c r="S251" s="74"/>
    </row>
    <row r="252" spans="4:19" ht="26.1" customHeight="1" x14ac:dyDescent="0.25">
      <c r="D252" s="74"/>
      <c r="F252" s="19"/>
      <c r="H252" s="119"/>
      <c r="I252" s="75"/>
      <c r="J252" s="75"/>
      <c r="K252" s="74"/>
      <c r="L252" s="75"/>
      <c r="M252" s="99"/>
      <c r="S252" s="74"/>
    </row>
    <row r="253" spans="4:19" ht="26.1" customHeight="1" x14ac:dyDescent="0.25">
      <c r="D253" s="74"/>
      <c r="F253" s="19"/>
      <c r="H253" s="119"/>
      <c r="I253" s="75"/>
      <c r="J253" s="75"/>
      <c r="K253" s="74"/>
      <c r="L253" s="75"/>
      <c r="M253" s="99"/>
      <c r="S253" s="74"/>
    </row>
    <row r="254" spans="4:19" ht="26.1" customHeight="1" x14ac:dyDescent="0.25">
      <c r="D254" s="74"/>
      <c r="F254" s="19"/>
      <c r="H254" s="119"/>
      <c r="I254" s="75"/>
      <c r="J254" s="75"/>
      <c r="K254" s="74"/>
      <c r="L254" s="75"/>
      <c r="M254" s="99"/>
      <c r="S254" s="74"/>
    </row>
    <row r="255" spans="4:19" ht="26.1" customHeight="1" x14ac:dyDescent="0.25">
      <c r="D255" s="74"/>
      <c r="F255" s="19"/>
      <c r="H255" s="119"/>
      <c r="I255" s="75"/>
      <c r="J255" s="75"/>
      <c r="K255" s="74"/>
      <c r="L255" s="75"/>
      <c r="M255" s="99"/>
      <c r="S255" s="74"/>
    </row>
    <row r="256" spans="4:19" ht="26.1" customHeight="1" x14ac:dyDescent="0.25">
      <c r="D256" s="74"/>
      <c r="F256" s="19"/>
      <c r="H256" s="119"/>
      <c r="I256" s="75"/>
      <c r="J256" s="75"/>
      <c r="K256" s="74"/>
      <c r="L256" s="75"/>
      <c r="M256" s="99"/>
      <c r="S256" s="74"/>
    </row>
    <row r="257" spans="4:19" ht="26.1" customHeight="1" x14ac:dyDescent="0.25">
      <c r="D257" s="74"/>
      <c r="F257" s="19"/>
      <c r="H257" s="119"/>
      <c r="I257" s="75"/>
      <c r="J257" s="75"/>
      <c r="K257" s="74"/>
      <c r="L257" s="75"/>
      <c r="M257" s="99"/>
      <c r="S257" s="74"/>
    </row>
    <row r="258" spans="4:19" ht="26.1" customHeight="1" x14ac:dyDescent="0.25">
      <c r="D258" s="74"/>
      <c r="F258" s="19"/>
      <c r="H258" s="119"/>
      <c r="I258" s="75"/>
      <c r="J258" s="75"/>
      <c r="K258" s="74"/>
      <c r="L258" s="75"/>
      <c r="M258" s="99"/>
      <c r="S258" s="74"/>
    </row>
    <row r="259" spans="4:19" ht="26.1" customHeight="1" x14ac:dyDescent="0.25">
      <c r="D259" s="74"/>
      <c r="F259" s="19"/>
      <c r="H259" s="119"/>
      <c r="I259" s="75"/>
      <c r="J259" s="75"/>
      <c r="K259" s="74"/>
      <c r="L259" s="75"/>
      <c r="M259" s="99"/>
      <c r="S259" s="74"/>
    </row>
    <row r="260" spans="4:19" ht="26.1" customHeight="1" x14ac:dyDescent="0.25">
      <c r="D260" s="74"/>
      <c r="F260" s="19"/>
      <c r="H260" s="119"/>
      <c r="I260" s="75"/>
      <c r="J260" s="75"/>
      <c r="K260" s="74"/>
      <c r="L260" s="75"/>
      <c r="M260" s="99"/>
      <c r="S260" s="74"/>
    </row>
    <row r="261" spans="4:19" ht="26.1" customHeight="1" x14ac:dyDescent="0.25">
      <c r="D261" s="74"/>
      <c r="F261" s="19"/>
      <c r="H261" s="119"/>
      <c r="I261" s="75"/>
      <c r="J261" s="75"/>
      <c r="K261" s="74"/>
      <c r="L261" s="75"/>
      <c r="M261" s="99"/>
      <c r="S261" s="74"/>
    </row>
    <row r="262" spans="4:19" ht="26.1" customHeight="1" x14ac:dyDescent="0.25">
      <c r="D262" s="74"/>
      <c r="F262" s="19"/>
      <c r="H262" s="119"/>
      <c r="I262" s="75"/>
      <c r="J262" s="75"/>
      <c r="K262" s="74"/>
      <c r="L262" s="75"/>
      <c r="M262" s="99"/>
      <c r="S262" s="74"/>
    </row>
    <row r="263" spans="4:19" ht="26.1" customHeight="1" x14ac:dyDescent="0.25">
      <c r="D263" s="74"/>
      <c r="F263" s="19"/>
      <c r="H263" s="119"/>
      <c r="I263" s="75"/>
      <c r="J263" s="75"/>
      <c r="K263" s="74"/>
      <c r="L263" s="75"/>
      <c r="M263" s="99"/>
      <c r="S263" s="74"/>
    </row>
    <row r="264" spans="4:19" ht="26.1" customHeight="1" x14ac:dyDescent="0.25">
      <c r="D264" s="74"/>
      <c r="F264" s="19"/>
      <c r="H264" s="119"/>
      <c r="I264" s="75"/>
      <c r="J264" s="75"/>
      <c r="K264" s="74"/>
      <c r="L264" s="75"/>
      <c r="M264" s="99"/>
      <c r="S264" s="74"/>
    </row>
    <row r="265" spans="4:19" ht="26.1" customHeight="1" x14ac:dyDescent="0.25">
      <c r="D265" s="74"/>
      <c r="F265" s="19"/>
      <c r="H265" s="119"/>
      <c r="I265" s="75"/>
      <c r="J265" s="75"/>
      <c r="K265" s="74"/>
      <c r="L265" s="75"/>
      <c r="M265" s="99"/>
      <c r="S265" s="74"/>
    </row>
    <row r="266" spans="4:19" ht="26.1" customHeight="1" x14ac:dyDescent="0.25">
      <c r="D266" s="74"/>
      <c r="F266" s="19"/>
      <c r="H266" s="119"/>
      <c r="I266" s="75"/>
      <c r="J266" s="75"/>
      <c r="K266" s="74"/>
      <c r="L266" s="75"/>
      <c r="M266" s="99"/>
      <c r="S266" s="74"/>
    </row>
    <row r="267" spans="4:19" ht="26.1" customHeight="1" x14ac:dyDescent="0.25">
      <c r="D267" s="74"/>
      <c r="F267" s="19"/>
      <c r="H267" s="119"/>
      <c r="I267" s="75"/>
      <c r="J267" s="75"/>
      <c r="K267" s="74"/>
      <c r="L267" s="75"/>
      <c r="M267" s="99"/>
      <c r="S267" s="74"/>
    </row>
    <row r="268" spans="4:19" ht="26.1" customHeight="1" x14ac:dyDescent="0.25">
      <c r="D268" s="74"/>
      <c r="F268" s="19"/>
      <c r="H268" s="119"/>
      <c r="I268" s="75"/>
      <c r="J268" s="75"/>
      <c r="K268" s="74"/>
      <c r="L268" s="75"/>
      <c r="M268" s="99"/>
      <c r="S268" s="74"/>
    </row>
    <row r="269" spans="4:19" ht="26.1" customHeight="1" x14ac:dyDescent="0.25">
      <c r="D269" s="74"/>
      <c r="F269" s="19"/>
      <c r="H269" s="119"/>
      <c r="I269" s="75"/>
      <c r="J269" s="75"/>
      <c r="K269" s="74"/>
      <c r="L269" s="75"/>
      <c r="M269" s="99"/>
      <c r="S269" s="74"/>
    </row>
    <row r="270" spans="4:19" ht="26.1" customHeight="1" x14ac:dyDescent="0.25">
      <c r="D270" s="74"/>
      <c r="F270" s="19"/>
      <c r="H270" s="119"/>
      <c r="I270" s="75"/>
      <c r="J270" s="75"/>
      <c r="K270" s="74"/>
      <c r="L270" s="75"/>
      <c r="M270" s="99"/>
      <c r="S270" s="74"/>
    </row>
    <row r="271" spans="4:19" ht="26.1" customHeight="1" x14ac:dyDescent="0.25">
      <c r="D271" s="74"/>
      <c r="F271" s="19"/>
      <c r="H271" s="119"/>
      <c r="I271" s="75"/>
      <c r="J271" s="75"/>
      <c r="K271" s="74"/>
      <c r="L271" s="75"/>
      <c r="M271" s="99"/>
      <c r="S271" s="74"/>
    </row>
    <row r="272" spans="4:19" ht="26.1" customHeight="1" x14ac:dyDescent="0.25">
      <c r="D272" s="74"/>
      <c r="F272" s="19"/>
      <c r="H272" s="119"/>
      <c r="I272" s="75"/>
      <c r="J272" s="75"/>
      <c r="K272" s="74"/>
      <c r="L272" s="75"/>
      <c r="M272" s="99"/>
      <c r="S272" s="74"/>
    </row>
    <row r="273" spans="4:19" ht="26.1" customHeight="1" x14ac:dyDescent="0.25">
      <c r="D273" s="74"/>
      <c r="F273" s="19"/>
      <c r="H273" s="119"/>
      <c r="I273" s="75"/>
      <c r="J273" s="75"/>
      <c r="K273" s="74"/>
      <c r="L273" s="75"/>
      <c r="M273" s="99"/>
      <c r="S273" s="74"/>
    </row>
    <row r="274" spans="4:19" ht="26.1" customHeight="1" x14ac:dyDescent="0.25">
      <c r="D274" s="74"/>
      <c r="F274" s="19"/>
      <c r="H274" s="119"/>
      <c r="I274" s="75"/>
      <c r="J274" s="75"/>
      <c r="K274" s="74"/>
      <c r="L274" s="75"/>
      <c r="M274" s="99"/>
      <c r="S274" s="74"/>
    </row>
    <row r="275" spans="4:19" ht="26.1" customHeight="1" x14ac:dyDescent="0.25">
      <c r="D275" s="74"/>
      <c r="F275" s="19"/>
      <c r="H275" s="119"/>
      <c r="I275" s="75"/>
      <c r="J275" s="75"/>
      <c r="K275" s="74"/>
      <c r="L275" s="75"/>
      <c r="M275" s="99"/>
      <c r="S275" s="74"/>
    </row>
    <row r="276" spans="4:19" ht="26.1" customHeight="1" x14ac:dyDescent="0.25">
      <c r="D276" s="74"/>
      <c r="F276" s="19"/>
      <c r="H276" s="119"/>
      <c r="I276" s="75"/>
      <c r="J276" s="75"/>
      <c r="K276" s="74"/>
      <c r="L276" s="75"/>
      <c r="M276" s="99"/>
      <c r="S276" s="74"/>
    </row>
    <row r="277" spans="4:19" ht="26.1" customHeight="1" x14ac:dyDescent="0.25">
      <c r="D277" s="74"/>
      <c r="F277" s="19"/>
      <c r="H277" s="119"/>
      <c r="I277" s="75"/>
      <c r="J277" s="75"/>
      <c r="K277" s="74"/>
      <c r="L277" s="75"/>
      <c r="M277" s="99"/>
      <c r="S277" s="74"/>
    </row>
    <row r="278" spans="4:19" ht="26.1" customHeight="1" x14ac:dyDescent="0.25">
      <c r="D278" s="74"/>
      <c r="F278" s="19"/>
      <c r="H278" s="119"/>
      <c r="I278" s="75"/>
      <c r="J278" s="75"/>
      <c r="K278" s="74"/>
      <c r="L278" s="75"/>
      <c r="M278" s="99"/>
      <c r="S278" s="74"/>
    </row>
    <row r="279" spans="4:19" ht="26.1" customHeight="1" x14ac:dyDescent="0.25">
      <c r="D279" s="74"/>
      <c r="F279" s="19"/>
      <c r="H279" s="119"/>
      <c r="I279" s="75"/>
      <c r="J279" s="75"/>
      <c r="K279" s="74"/>
      <c r="L279" s="75"/>
      <c r="M279" s="99"/>
      <c r="S279" s="74"/>
    </row>
    <row r="280" spans="4:19" ht="26.1" customHeight="1" x14ac:dyDescent="0.25">
      <c r="D280" s="74"/>
      <c r="F280" s="19"/>
      <c r="H280" s="119"/>
      <c r="I280" s="75"/>
      <c r="J280" s="75"/>
      <c r="K280" s="74"/>
      <c r="L280" s="75"/>
      <c r="M280" s="99"/>
      <c r="S280" s="74"/>
    </row>
    <row r="281" spans="4:19" ht="26.1" customHeight="1" x14ac:dyDescent="0.25">
      <c r="D281" s="74"/>
      <c r="F281" s="19"/>
      <c r="H281" s="119"/>
      <c r="I281" s="75"/>
      <c r="J281" s="75"/>
      <c r="K281" s="74"/>
      <c r="L281" s="75"/>
      <c r="M281" s="99"/>
      <c r="S281" s="74"/>
    </row>
    <row r="282" spans="4:19" ht="26.1" customHeight="1" x14ac:dyDescent="0.25">
      <c r="D282" s="74"/>
      <c r="F282" s="19"/>
      <c r="H282" s="119"/>
      <c r="I282" s="75"/>
      <c r="J282" s="75"/>
      <c r="K282" s="74"/>
      <c r="L282" s="75"/>
      <c r="M282" s="99"/>
      <c r="S282" s="74"/>
    </row>
    <row r="283" spans="4:19" ht="26.1" customHeight="1" x14ac:dyDescent="0.25">
      <c r="D283" s="74"/>
      <c r="F283" s="19"/>
      <c r="H283" s="119"/>
      <c r="I283" s="75"/>
      <c r="J283" s="75"/>
      <c r="K283" s="74"/>
      <c r="L283" s="75"/>
      <c r="M283" s="99"/>
      <c r="S283" s="74"/>
    </row>
    <row r="284" spans="4:19" ht="26.1" customHeight="1" x14ac:dyDescent="0.25">
      <c r="D284" s="74"/>
      <c r="F284" s="19"/>
      <c r="H284" s="119"/>
      <c r="I284" s="75"/>
      <c r="J284" s="75"/>
      <c r="K284" s="74"/>
      <c r="L284" s="75"/>
      <c r="M284" s="99"/>
      <c r="S284" s="74"/>
    </row>
    <row r="285" spans="4:19" ht="26.1" customHeight="1" x14ac:dyDescent="0.25">
      <c r="D285" s="74"/>
      <c r="F285" s="19"/>
      <c r="H285" s="119"/>
      <c r="I285" s="75"/>
      <c r="J285" s="75"/>
      <c r="K285" s="74"/>
      <c r="L285" s="75"/>
      <c r="M285" s="99"/>
      <c r="S285" s="74"/>
    </row>
    <row r="286" spans="4:19" ht="26.1" customHeight="1" x14ac:dyDescent="0.25">
      <c r="D286" s="74"/>
      <c r="F286" s="19"/>
      <c r="H286" s="119"/>
      <c r="I286" s="75"/>
      <c r="J286" s="75"/>
      <c r="K286" s="74"/>
      <c r="L286" s="75"/>
      <c r="M286" s="99"/>
      <c r="S286" s="74"/>
    </row>
    <row r="287" spans="4:19" ht="26.1" customHeight="1" x14ac:dyDescent="0.25">
      <c r="D287" s="74"/>
      <c r="F287" s="19"/>
      <c r="H287" s="119"/>
      <c r="I287" s="75"/>
      <c r="J287" s="75"/>
      <c r="K287" s="74"/>
      <c r="L287" s="75"/>
      <c r="M287" s="99"/>
      <c r="S287" s="74"/>
    </row>
    <row r="288" spans="4:19" ht="26.1" customHeight="1" x14ac:dyDescent="0.25">
      <c r="D288" s="74"/>
      <c r="F288" s="19"/>
      <c r="H288" s="119"/>
      <c r="I288" s="75"/>
      <c r="J288" s="75"/>
      <c r="K288" s="74"/>
      <c r="L288" s="75"/>
      <c r="M288" s="99"/>
      <c r="S288" s="74"/>
    </row>
    <row r="289" spans="4:19" ht="26.1" customHeight="1" x14ac:dyDescent="0.25">
      <c r="D289" s="74"/>
      <c r="F289" s="19"/>
      <c r="H289" s="119"/>
      <c r="I289" s="75"/>
      <c r="J289" s="75"/>
      <c r="K289" s="74"/>
      <c r="L289" s="75"/>
      <c r="M289" s="99"/>
      <c r="S289" s="74"/>
    </row>
    <row r="290" spans="4:19" ht="26.1" customHeight="1" x14ac:dyDescent="0.25">
      <c r="D290" s="74"/>
      <c r="F290" s="19"/>
      <c r="H290" s="119"/>
      <c r="I290" s="75"/>
      <c r="J290" s="75"/>
      <c r="K290" s="74"/>
      <c r="L290" s="75"/>
      <c r="M290" s="99"/>
      <c r="S290" s="74"/>
    </row>
    <row r="291" spans="4:19" ht="26.1" customHeight="1" x14ac:dyDescent="0.25">
      <c r="D291" s="74"/>
      <c r="F291" s="19"/>
      <c r="H291" s="119"/>
      <c r="I291" s="75"/>
      <c r="J291" s="75"/>
      <c r="K291" s="74"/>
      <c r="L291" s="75"/>
      <c r="M291" s="99"/>
      <c r="S291" s="74"/>
    </row>
    <row r="292" spans="4:19" ht="26.1" customHeight="1" x14ac:dyDescent="0.25">
      <c r="D292" s="74"/>
      <c r="F292" s="19"/>
      <c r="H292" s="119"/>
      <c r="I292" s="75"/>
      <c r="J292" s="75"/>
      <c r="K292" s="74"/>
      <c r="L292" s="75"/>
      <c r="M292" s="99"/>
      <c r="S292" s="74"/>
    </row>
    <row r="293" spans="4:19" ht="26.1" customHeight="1" x14ac:dyDescent="0.25">
      <c r="D293" s="74"/>
      <c r="F293" s="19"/>
      <c r="H293" s="119"/>
      <c r="I293" s="75"/>
      <c r="J293" s="75"/>
      <c r="K293" s="74"/>
      <c r="L293" s="75"/>
      <c r="M293" s="99"/>
      <c r="S293" s="74"/>
    </row>
    <row r="294" spans="4:19" ht="26.1" customHeight="1" x14ac:dyDescent="0.25">
      <c r="D294" s="74"/>
      <c r="F294" s="19"/>
      <c r="H294" s="119"/>
      <c r="I294" s="75"/>
      <c r="J294" s="75"/>
      <c r="K294" s="74"/>
      <c r="L294" s="75"/>
      <c r="M294" s="99"/>
      <c r="S294" s="74"/>
    </row>
    <row r="295" spans="4:19" ht="26.1" customHeight="1" x14ac:dyDescent="0.25">
      <c r="D295" s="74"/>
      <c r="F295" s="19"/>
      <c r="H295" s="119"/>
      <c r="I295" s="75"/>
      <c r="J295" s="75"/>
      <c r="K295" s="74"/>
      <c r="L295" s="75"/>
      <c r="M295" s="99"/>
      <c r="S295" s="74"/>
    </row>
    <row r="296" spans="4:19" ht="26.1" customHeight="1" x14ac:dyDescent="0.25">
      <c r="D296" s="74"/>
      <c r="F296" s="19"/>
      <c r="H296" s="119"/>
      <c r="I296" s="75"/>
      <c r="J296" s="75"/>
      <c r="K296" s="74"/>
      <c r="L296" s="75"/>
      <c r="M296" s="99"/>
      <c r="S296" s="74"/>
    </row>
    <row r="297" spans="4:19" ht="26.1" customHeight="1" x14ac:dyDescent="0.25">
      <c r="D297" s="74"/>
      <c r="F297" s="19"/>
      <c r="H297" s="119"/>
      <c r="I297" s="75"/>
      <c r="J297" s="75"/>
      <c r="K297" s="74"/>
      <c r="L297" s="75"/>
      <c r="M297" s="99"/>
      <c r="S297" s="74"/>
    </row>
    <row r="298" spans="4:19" ht="26.1" customHeight="1" x14ac:dyDescent="0.25">
      <c r="D298" s="74"/>
      <c r="F298" s="19"/>
      <c r="H298" s="119"/>
      <c r="I298" s="75"/>
      <c r="J298" s="75"/>
      <c r="K298" s="74"/>
      <c r="L298" s="75"/>
      <c r="M298" s="99"/>
      <c r="S298" s="74"/>
    </row>
    <row r="299" spans="4:19" ht="26.1" customHeight="1" x14ac:dyDescent="0.25">
      <c r="D299" s="74"/>
      <c r="F299" s="19"/>
      <c r="H299" s="119"/>
      <c r="I299" s="75"/>
      <c r="J299" s="75"/>
      <c r="K299" s="74"/>
      <c r="L299" s="75"/>
      <c r="M299" s="99"/>
      <c r="S299" s="74"/>
    </row>
    <row r="300" spans="4:19" ht="26.1" customHeight="1" x14ac:dyDescent="0.25">
      <c r="D300" s="74"/>
      <c r="F300" s="19"/>
      <c r="H300" s="119"/>
      <c r="I300" s="75"/>
      <c r="J300" s="75"/>
      <c r="K300" s="74"/>
      <c r="L300" s="75"/>
      <c r="M300" s="99"/>
      <c r="S300" s="74"/>
    </row>
    <row r="301" spans="4:19" ht="26.1" customHeight="1" x14ac:dyDescent="0.25">
      <c r="D301" s="74"/>
      <c r="F301" s="19"/>
      <c r="H301" s="119"/>
      <c r="I301" s="75"/>
      <c r="J301" s="75"/>
      <c r="K301" s="74"/>
      <c r="L301" s="75"/>
      <c r="M301" s="99"/>
      <c r="S301" s="74"/>
    </row>
    <row r="302" spans="4:19" ht="26.1" customHeight="1" x14ac:dyDescent="0.25">
      <c r="D302" s="74"/>
      <c r="F302" s="19"/>
      <c r="H302" s="119"/>
      <c r="I302" s="75"/>
      <c r="J302" s="75"/>
      <c r="K302" s="74"/>
      <c r="L302" s="75"/>
      <c r="M302" s="99"/>
      <c r="S302" s="74"/>
    </row>
    <row r="303" spans="4:19" ht="26.1" customHeight="1" x14ac:dyDescent="0.25">
      <c r="D303" s="74"/>
      <c r="F303" s="19"/>
      <c r="H303" s="119"/>
      <c r="I303" s="75"/>
      <c r="J303" s="75"/>
      <c r="K303" s="74"/>
      <c r="L303" s="75"/>
      <c r="M303" s="99"/>
      <c r="S303" s="74"/>
    </row>
    <row r="304" spans="4:19" ht="26.1" customHeight="1" x14ac:dyDescent="0.25">
      <c r="D304" s="74"/>
      <c r="F304" s="19"/>
      <c r="H304" s="119"/>
      <c r="I304" s="75"/>
      <c r="J304" s="75"/>
      <c r="K304" s="74"/>
      <c r="L304" s="75"/>
      <c r="M304" s="99"/>
      <c r="S304" s="74"/>
    </row>
    <row r="305" spans="4:19" ht="26.1" customHeight="1" x14ac:dyDescent="0.25">
      <c r="D305" s="74"/>
      <c r="F305" s="19"/>
      <c r="H305" s="119"/>
      <c r="I305" s="75"/>
      <c r="J305" s="75"/>
      <c r="K305" s="74"/>
      <c r="L305" s="75"/>
      <c r="M305" s="99"/>
      <c r="S305" s="74"/>
    </row>
    <row r="306" spans="4:19" ht="26.1" customHeight="1" x14ac:dyDescent="0.25">
      <c r="D306" s="74"/>
      <c r="F306" s="19"/>
      <c r="H306" s="119"/>
      <c r="I306" s="75"/>
      <c r="J306" s="75"/>
      <c r="K306" s="74"/>
      <c r="L306" s="75"/>
      <c r="M306" s="99"/>
      <c r="S306" s="74"/>
    </row>
    <row r="307" spans="4:19" ht="26.1" customHeight="1" x14ac:dyDescent="0.25">
      <c r="D307" s="74"/>
      <c r="F307" s="19"/>
      <c r="H307" s="119"/>
      <c r="I307" s="75"/>
      <c r="J307" s="75"/>
      <c r="K307" s="74"/>
      <c r="L307" s="75"/>
      <c r="M307" s="99"/>
      <c r="S307" s="74"/>
    </row>
    <row r="308" spans="4:19" ht="26.1" customHeight="1" x14ac:dyDescent="0.25">
      <c r="D308" s="74"/>
      <c r="F308" s="19"/>
      <c r="H308" s="119"/>
      <c r="I308" s="75"/>
      <c r="J308" s="75"/>
      <c r="K308" s="74"/>
      <c r="L308" s="75"/>
      <c r="M308" s="99"/>
      <c r="S308" s="74"/>
    </row>
    <row r="309" spans="4:19" ht="26.1" customHeight="1" x14ac:dyDescent="0.25">
      <c r="D309" s="74"/>
      <c r="F309" s="19"/>
      <c r="H309" s="119"/>
      <c r="I309" s="75"/>
      <c r="J309" s="75"/>
      <c r="K309" s="74"/>
      <c r="L309" s="75"/>
      <c r="M309" s="99"/>
      <c r="S309" s="74"/>
    </row>
    <row r="310" spans="4:19" ht="26.1" customHeight="1" x14ac:dyDescent="0.25">
      <c r="D310" s="74"/>
      <c r="F310" s="19"/>
      <c r="H310" s="119"/>
      <c r="I310" s="75"/>
      <c r="J310" s="75"/>
      <c r="K310" s="74"/>
      <c r="L310" s="75"/>
      <c r="M310" s="99"/>
      <c r="S310" s="74"/>
    </row>
    <row r="311" spans="4:19" ht="26.1" customHeight="1" x14ac:dyDescent="0.25">
      <c r="D311" s="74"/>
      <c r="F311" s="19"/>
      <c r="H311" s="119"/>
      <c r="I311" s="75"/>
      <c r="J311" s="75"/>
      <c r="K311" s="74"/>
      <c r="L311" s="75"/>
      <c r="M311" s="99"/>
      <c r="S311" s="74"/>
    </row>
    <row r="312" spans="4:19" ht="26.1" customHeight="1" x14ac:dyDescent="0.25">
      <c r="D312" s="74"/>
      <c r="F312" s="19"/>
      <c r="H312" s="119"/>
      <c r="I312" s="75"/>
      <c r="J312" s="75"/>
      <c r="K312" s="74"/>
      <c r="L312" s="75"/>
      <c r="M312" s="99"/>
      <c r="S312" s="74"/>
    </row>
    <row r="313" spans="4:19" ht="26.1" customHeight="1" x14ac:dyDescent="0.25">
      <c r="D313" s="74"/>
      <c r="F313" s="19"/>
      <c r="H313" s="119"/>
      <c r="I313" s="75"/>
      <c r="J313" s="75"/>
      <c r="K313" s="74"/>
      <c r="L313" s="75"/>
      <c r="M313" s="99"/>
      <c r="S313" s="74"/>
    </row>
    <row r="314" spans="4:19" ht="26.1" customHeight="1" x14ac:dyDescent="0.25">
      <c r="D314" s="74"/>
      <c r="F314" s="19"/>
      <c r="H314" s="119"/>
      <c r="I314" s="75"/>
      <c r="J314" s="75"/>
      <c r="K314" s="74"/>
      <c r="L314" s="75"/>
      <c r="M314" s="99"/>
      <c r="S314" s="74"/>
    </row>
    <row r="315" spans="4:19" ht="26.1" customHeight="1" x14ac:dyDescent="0.25">
      <c r="D315" s="74"/>
      <c r="F315" s="19"/>
      <c r="H315" s="119"/>
      <c r="I315" s="75"/>
      <c r="J315" s="75"/>
      <c r="K315" s="74"/>
      <c r="L315" s="75"/>
      <c r="M315" s="99"/>
      <c r="S315" s="74"/>
    </row>
    <row r="316" spans="4:19" ht="26.1" customHeight="1" x14ac:dyDescent="0.25">
      <c r="D316" s="74"/>
      <c r="F316" s="19"/>
      <c r="H316" s="119"/>
      <c r="I316" s="75"/>
      <c r="J316" s="75"/>
      <c r="K316" s="74"/>
      <c r="L316" s="75"/>
      <c r="M316" s="99"/>
      <c r="S316" s="74"/>
    </row>
    <row r="317" spans="4:19" ht="26.1" customHeight="1" x14ac:dyDescent="0.25">
      <c r="D317" s="74"/>
      <c r="F317" s="19"/>
      <c r="H317" s="119"/>
      <c r="I317" s="75"/>
      <c r="J317" s="75"/>
      <c r="K317" s="74"/>
      <c r="L317" s="75"/>
      <c r="M317" s="99"/>
      <c r="S317" s="74"/>
    </row>
    <row r="318" spans="4:19" ht="26.1" customHeight="1" x14ac:dyDescent="0.25">
      <c r="D318" s="74"/>
      <c r="F318" s="19"/>
      <c r="H318" s="119"/>
      <c r="I318" s="75"/>
      <c r="J318" s="75"/>
      <c r="K318" s="74"/>
      <c r="L318" s="75"/>
      <c r="M318" s="99"/>
      <c r="S318" s="74"/>
    </row>
    <row r="319" spans="4:19" ht="26.1" customHeight="1" x14ac:dyDescent="0.25">
      <c r="D319" s="74"/>
      <c r="F319" s="19"/>
      <c r="H319" s="119"/>
      <c r="I319" s="75"/>
      <c r="J319" s="75"/>
      <c r="K319" s="74"/>
      <c r="L319" s="75"/>
      <c r="M319" s="99"/>
      <c r="S319" s="74"/>
    </row>
    <row r="320" spans="4:19" ht="26.1" customHeight="1" x14ac:dyDescent="0.25">
      <c r="D320" s="74"/>
      <c r="F320" s="19"/>
      <c r="H320" s="119"/>
      <c r="I320" s="75"/>
      <c r="J320" s="75"/>
      <c r="K320" s="74"/>
      <c r="L320" s="75"/>
      <c r="M320" s="99"/>
      <c r="S320" s="74"/>
    </row>
    <row r="321" spans="4:19" ht="26.1" customHeight="1" x14ac:dyDescent="0.25">
      <c r="D321" s="74"/>
      <c r="F321" s="19"/>
      <c r="H321" s="119"/>
      <c r="I321" s="75"/>
      <c r="J321" s="75"/>
      <c r="K321" s="74"/>
      <c r="L321" s="75"/>
      <c r="M321" s="99"/>
      <c r="S321" s="74"/>
    </row>
    <row r="322" spans="4:19" ht="26.1" customHeight="1" x14ac:dyDescent="0.25">
      <c r="D322" s="74"/>
      <c r="F322" s="19"/>
      <c r="H322" s="119"/>
      <c r="I322" s="75"/>
      <c r="J322" s="75"/>
      <c r="K322" s="74"/>
      <c r="L322" s="75"/>
      <c r="M322" s="99"/>
      <c r="S322" s="74"/>
    </row>
    <row r="323" spans="4:19" ht="26.1" customHeight="1" x14ac:dyDescent="0.25">
      <c r="D323" s="74"/>
      <c r="F323" s="19"/>
      <c r="H323" s="119"/>
      <c r="I323" s="75"/>
      <c r="J323" s="75"/>
      <c r="K323" s="74"/>
      <c r="L323" s="75"/>
      <c r="M323" s="99"/>
      <c r="S323" s="74"/>
    </row>
    <row r="324" spans="4:19" ht="26.1" customHeight="1" x14ac:dyDescent="0.25">
      <c r="D324" s="74"/>
      <c r="F324" s="19"/>
      <c r="H324" s="119"/>
      <c r="I324" s="75"/>
      <c r="J324" s="75"/>
      <c r="K324" s="74"/>
      <c r="L324" s="75"/>
      <c r="M324" s="99"/>
      <c r="S324" s="74"/>
    </row>
    <row r="325" spans="4:19" ht="26.1" customHeight="1" x14ac:dyDescent="0.25">
      <c r="D325" s="74"/>
      <c r="F325" s="19"/>
      <c r="H325" s="119"/>
      <c r="I325" s="75"/>
      <c r="J325" s="75"/>
      <c r="K325" s="74"/>
      <c r="L325" s="75"/>
      <c r="M325" s="99"/>
      <c r="S325" s="74"/>
    </row>
    <row r="326" spans="4:19" ht="26.1" customHeight="1" x14ac:dyDescent="0.25">
      <c r="D326" s="74"/>
      <c r="F326" s="19"/>
      <c r="H326" s="119"/>
      <c r="I326" s="75"/>
      <c r="J326" s="75"/>
      <c r="K326" s="74"/>
      <c r="L326" s="75"/>
      <c r="M326" s="99"/>
      <c r="S326" s="74"/>
    </row>
    <row r="327" spans="4:19" ht="26.1" customHeight="1" x14ac:dyDescent="0.25">
      <c r="D327" s="74"/>
      <c r="F327" s="19"/>
      <c r="H327" s="119"/>
      <c r="I327" s="75"/>
      <c r="J327" s="75"/>
      <c r="K327" s="74"/>
      <c r="L327" s="75"/>
      <c r="M327" s="99"/>
      <c r="S327" s="74"/>
    </row>
    <row r="328" spans="4:19" ht="26.1" customHeight="1" x14ac:dyDescent="0.25">
      <c r="D328" s="74"/>
      <c r="F328" s="19"/>
      <c r="H328" s="119"/>
      <c r="I328" s="75"/>
      <c r="J328" s="75"/>
      <c r="K328" s="74"/>
      <c r="L328" s="75"/>
      <c r="M328" s="99"/>
      <c r="S328" s="74"/>
    </row>
    <row r="329" spans="4:19" ht="26.1" customHeight="1" x14ac:dyDescent="0.25">
      <c r="D329" s="74"/>
      <c r="F329" s="19"/>
      <c r="H329" s="119"/>
      <c r="I329" s="75"/>
      <c r="J329" s="75"/>
      <c r="K329" s="74"/>
      <c r="L329" s="75"/>
      <c r="M329" s="99"/>
      <c r="S329" s="74"/>
    </row>
    <row r="330" spans="4:19" ht="26.1" customHeight="1" x14ac:dyDescent="0.25">
      <c r="D330" s="74"/>
      <c r="F330" s="19"/>
      <c r="H330" s="119"/>
      <c r="I330" s="75"/>
      <c r="J330" s="75"/>
      <c r="K330" s="74"/>
      <c r="L330" s="75"/>
      <c r="M330" s="99"/>
      <c r="S330" s="74"/>
    </row>
    <row r="331" spans="4:19" ht="26.1" customHeight="1" x14ac:dyDescent="0.25">
      <c r="D331" s="74"/>
      <c r="F331" s="19"/>
      <c r="H331" s="119"/>
      <c r="I331" s="75"/>
      <c r="J331" s="75"/>
      <c r="K331" s="74"/>
      <c r="L331" s="75"/>
      <c r="M331" s="99"/>
      <c r="S331" s="74"/>
    </row>
    <row r="332" spans="4:19" ht="26.1" customHeight="1" x14ac:dyDescent="0.25">
      <c r="D332" s="74"/>
      <c r="F332" s="19"/>
      <c r="H332" s="119"/>
      <c r="I332" s="75"/>
      <c r="J332" s="75"/>
      <c r="K332" s="74"/>
      <c r="L332" s="75"/>
      <c r="M332" s="99"/>
      <c r="S332" s="74"/>
    </row>
    <row r="333" spans="4:19" ht="26.1" customHeight="1" x14ac:dyDescent="0.25">
      <c r="D333" s="74"/>
      <c r="F333" s="19"/>
      <c r="H333" s="119"/>
      <c r="I333" s="75"/>
      <c r="J333" s="75"/>
      <c r="K333" s="74"/>
      <c r="L333" s="75"/>
      <c r="M333" s="99"/>
      <c r="S333" s="74"/>
    </row>
    <row r="334" spans="4:19" ht="26.1" customHeight="1" x14ac:dyDescent="0.25">
      <c r="D334" s="74"/>
      <c r="F334" s="19"/>
      <c r="H334" s="119"/>
      <c r="I334" s="75"/>
      <c r="J334" s="75"/>
      <c r="K334" s="74"/>
      <c r="L334" s="75"/>
      <c r="M334" s="99"/>
      <c r="S334" s="74"/>
    </row>
    <row r="335" spans="4:19" ht="26.1" customHeight="1" x14ac:dyDescent="0.25">
      <c r="D335" s="74"/>
      <c r="F335" s="19"/>
      <c r="H335" s="119"/>
      <c r="I335" s="75"/>
      <c r="J335" s="75"/>
      <c r="K335" s="74"/>
      <c r="L335" s="75"/>
      <c r="M335" s="99"/>
      <c r="S335" s="74"/>
    </row>
    <row r="336" spans="4:19" ht="26.1" customHeight="1" x14ac:dyDescent="0.25">
      <c r="D336" s="74"/>
      <c r="F336" s="19"/>
      <c r="H336" s="119"/>
      <c r="I336" s="75"/>
      <c r="J336" s="75"/>
      <c r="K336" s="74"/>
      <c r="L336" s="75"/>
      <c r="M336" s="99"/>
      <c r="S336" s="74"/>
    </row>
    <row r="337" spans="4:19" ht="26.1" customHeight="1" x14ac:dyDescent="0.25">
      <c r="D337" s="74"/>
      <c r="F337" s="19"/>
      <c r="H337" s="119"/>
      <c r="I337" s="75"/>
      <c r="J337" s="75"/>
      <c r="K337" s="74"/>
      <c r="L337" s="75"/>
      <c r="M337" s="99"/>
      <c r="S337" s="74"/>
    </row>
    <row r="338" spans="4:19" ht="26.1" customHeight="1" x14ac:dyDescent="0.25">
      <c r="D338" s="74"/>
      <c r="F338" s="19"/>
      <c r="H338" s="119"/>
      <c r="I338" s="75"/>
      <c r="J338" s="75"/>
      <c r="K338" s="74"/>
      <c r="L338" s="75"/>
      <c r="M338" s="99"/>
      <c r="S338" s="74"/>
    </row>
    <row r="339" spans="4:19" ht="26.1" customHeight="1" x14ac:dyDescent="0.25">
      <c r="D339" s="74"/>
      <c r="F339" s="19"/>
      <c r="H339" s="119"/>
      <c r="I339" s="75"/>
      <c r="J339" s="75"/>
      <c r="K339" s="74"/>
      <c r="L339" s="75"/>
      <c r="M339" s="99"/>
      <c r="S339" s="74"/>
    </row>
    <row r="340" spans="4:19" ht="26.1" customHeight="1" x14ac:dyDescent="0.25">
      <c r="D340" s="74"/>
      <c r="F340" s="19"/>
      <c r="H340" s="119"/>
      <c r="I340" s="75"/>
      <c r="J340" s="75"/>
      <c r="K340" s="74"/>
      <c r="L340" s="75"/>
      <c r="M340" s="99"/>
      <c r="S340" s="74"/>
    </row>
    <row r="341" spans="4:19" ht="26.1" customHeight="1" x14ac:dyDescent="0.25">
      <c r="D341" s="74"/>
      <c r="F341" s="19"/>
      <c r="H341" s="119"/>
      <c r="I341" s="75"/>
      <c r="J341" s="75"/>
      <c r="K341" s="74"/>
      <c r="L341" s="75"/>
      <c r="M341" s="99"/>
      <c r="S341" s="74"/>
    </row>
    <row r="342" spans="4:19" ht="26.1" customHeight="1" x14ac:dyDescent="0.25">
      <c r="D342" s="74"/>
      <c r="F342" s="19"/>
      <c r="H342" s="119"/>
      <c r="I342" s="75"/>
      <c r="J342" s="75"/>
      <c r="K342" s="74"/>
      <c r="L342" s="75"/>
      <c r="M342" s="99"/>
      <c r="S342" s="74"/>
    </row>
    <row r="343" spans="4:19" ht="26.1" customHeight="1" x14ac:dyDescent="0.25">
      <c r="D343" s="74"/>
      <c r="F343" s="19"/>
      <c r="H343" s="119"/>
      <c r="I343" s="75"/>
      <c r="J343" s="75"/>
      <c r="K343" s="74"/>
      <c r="L343" s="75"/>
      <c r="M343" s="99"/>
      <c r="S343" s="74"/>
    </row>
    <row r="344" spans="4:19" ht="26.1" customHeight="1" x14ac:dyDescent="0.25">
      <c r="D344" s="74"/>
      <c r="F344" s="19"/>
      <c r="H344" s="119"/>
      <c r="I344" s="75"/>
      <c r="J344" s="75"/>
      <c r="K344" s="74"/>
      <c r="L344" s="75"/>
      <c r="M344" s="99"/>
      <c r="S344" s="74"/>
    </row>
    <row r="345" spans="4:19" ht="26.1" customHeight="1" x14ac:dyDescent="0.25">
      <c r="D345" s="74"/>
      <c r="F345" s="19"/>
      <c r="H345" s="119"/>
      <c r="I345" s="75"/>
      <c r="J345" s="75"/>
      <c r="K345" s="74"/>
      <c r="L345" s="75"/>
      <c r="M345" s="99"/>
      <c r="S345" s="74"/>
    </row>
    <row r="346" spans="4:19" ht="26.1" customHeight="1" x14ac:dyDescent="0.25">
      <c r="D346" s="74"/>
      <c r="F346" s="19"/>
      <c r="H346" s="119"/>
      <c r="I346" s="75"/>
      <c r="J346" s="75"/>
      <c r="K346" s="74"/>
      <c r="L346" s="75"/>
      <c r="M346" s="99"/>
      <c r="S346" s="74"/>
    </row>
    <row r="347" spans="4:19" ht="26.1" customHeight="1" x14ac:dyDescent="0.25">
      <c r="D347" s="74"/>
      <c r="F347" s="19"/>
      <c r="H347" s="119"/>
      <c r="I347" s="75"/>
      <c r="J347" s="75"/>
      <c r="K347" s="74"/>
      <c r="L347" s="75"/>
      <c r="M347" s="99"/>
      <c r="S347" s="74"/>
    </row>
    <row r="348" spans="4:19" ht="26.1" customHeight="1" x14ac:dyDescent="0.25">
      <c r="D348" s="74"/>
      <c r="F348" s="19"/>
      <c r="H348" s="119"/>
      <c r="I348" s="75"/>
      <c r="J348" s="75"/>
      <c r="K348" s="74"/>
      <c r="L348" s="75"/>
      <c r="M348" s="99"/>
      <c r="S348" s="74"/>
    </row>
    <row r="349" spans="4:19" ht="26.1" customHeight="1" x14ac:dyDescent="0.25">
      <c r="D349" s="74"/>
      <c r="F349" s="19"/>
      <c r="H349" s="119"/>
      <c r="I349" s="75"/>
      <c r="J349" s="75"/>
      <c r="K349" s="74"/>
      <c r="L349" s="75"/>
      <c r="M349" s="99"/>
      <c r="S349" s="74"/>
    </row>
    <row r="350" spans="4:19" ht="26.1" customHeight="1" x14ac:dyDescent="0.25">
      <c r="D350" s="74"/>
      <c r="F350" s="19"/>
      <c r="H350" s="119"/>
      <c r="I350" s="75"/>
      <c r="J350" s="75"/>
      <c r="K350" s="74"/>
      <c r="L350" s="75"/>
      <c r="M350" s="99"/>
      <c r="S350" s="74"/>
    </row>
    <row r="351" spans="4:19" ht="26.1" customHeight="1" x14ac:dyDescent="0.25">
      <c r="D351" s="74"/>
      <c r="F351" s="19"/>
      <c r="H351" s="119"/>
      <c r="I351" s="75"/>
      <c r="J351" s="75"/>
      <c r="K351" s="74"/>
      <c r="L351" s="75"/>
      <c r="M351" s="99"/>
      <c r="S351" s="74"/>
    </row>
    <row r="352" spans="4:19" ht="26.1" customHeight="1" x14ac:dyDescent="0.25">
      <c r="D352" s="74"/>
      <c r="F352" s="19"/>
      <c r="H352" s="119"/>
      <c r="I352" s="75"/>
      <c r="J352" s="75"/>
      <c r="K352" s="74"/>
      <c r="L352" s="75"/>
      <c r="M352" s="99"/>
      <c r="S352" s="74"/>
    </row>
    <row r="353" spans="4:19" ht="26.1" customHeight="1" x14ac:dyDescent="0.25">
      <c r="D353" s="74"/>
      <c r="F353" s="19"/>
      <c r="H353" s="119"/>
      <c r="I353" s="75"/>
      <c r="J353" s="75"/>
      <c r="K353" s="74"/>
      <c r="L353" s="75"/>
      <c r="M353" s="99"/>
      <c r="S353" s="74"/>
    </row>
    <row r="354" spans="4:19" ht="26.1" customHeight="1" x14ac:dyDescent="0.25">
      <c r="D354" s="74"/>
      <c r="F354" s="19"/>
      <c r="H354" s="119"/>
      <c r="I354" s="75"/>
      <c r="J354" s="75"/>
      <c r="K354" s="74"/>
      <c r="L354" s="75"/>
      <c r="M354" s="99"/>
      <c r="S354" s="74"/>
    </row>
    <row r="355" spans="4:19" ht="26.1" customHeight="1" x14ac:dyDescent="0.25">
      <c r="D355" s="74"/>
      <c r="F355" s="19"/>
      <c r="H355" s="119"/>
      <c r="I355" s="75"/>
      <c r="J355" s="75"/>
      <c r="K355" s="74"/>
      <c r="L355" s="75"/>
      <c r="M355" s="99"/>
      <c r="S355" s="74"/>
    </row>
    <row r="356" spans="4:19" ht="26.1" customHeight="1" x14ac:dyDescent="0.25">
      <c r="D356" s="74"/>
      <c r="F356" s="19"/>
      <c r="H356" s="119"/>
      <c r="I356" s="75"/>
      <c r="J356" s="75"/>
      <c r="K356" s="74"/>
      <c r="L356" s="75"/>
      <c r="M356" s="99"/>
      <c r="S356" s="74"/>
    </row>
    <row r="357" spans="4:19" ht="26.1" customHeight="1" x14ac:dyDescent="0.25">
      <c r="D357" s="74"/>
      <c r="F357" s="19"/>
      <c r="H357" s="119"/>
      <c r="I357" s="75"/>
      <c r="J357" s="75"/>
      <c r="K357" s="74"/>
      <c r="L357" s="75"/>
      <c r="M357" s="99"/>
      <c r="S357" s="74"/>
    </row>
    <row r="358" spans="4:19" ht="26.1" customHeight="1" x14ac:dyDescent="0.25">
      <c r="D358" s="74"/>
      <c r="F358" s="19"/>
      <c r="H358" s="119"/>
      <c r="I358" s="75"/>
      <c r="J358" s="75"/>
      <c r="K358" s="74"/>
      <c r="L358" s="75"/>
      <c r="M358" s="99"/>
      <c r="S358" s="74"/>
    </row>
    <row r="359" spans="4:19" ht="26.1" customHeight="1" x14ac:dyDescent="0.25">
      <c r="D359" s="74"/>
      <c r="F359" s="19"/>
      <c r="H359" s="119"/>
      <c r="I359" s="75"/>
      <c r="J359" s="75"/>
      <c r="K359" s="74"/>
      <c r="L359" s="75"/>
      <c r="M359" s="99"/>
      <c r="S359" s="74"/>
    </row>
    <row r="360" spans="4:19" ht="26.1" customHeight="1" x14ac:dyDescent="0.25">
      <c r="D360" s="74"/>
      <c r="F360" s="19"/>
      <c r="H360" s="119"/>
      <c r="I360" s="75"/>
      <c r="J360" s="75"/>
      <c r="K360" s="74"/>
      <c r="L360" s="75"/>
      <c r="M360" s="99"/>
      <c r="S360" s="74"/>
    </row>
    <row r="361" spans="4:19" ht="26.1" customHeight="1" x14ac:dyDescent="0.25">
      <c r="D361" s="74"/>
      <c r="F361" s="19"/>
      <c r="H361" s="119"/>
      <c r="I361" s="75"/>
      <c r="J361" s="75"/>
      <c r="K361" s="74"/>
      <c r="L361" s="75"/>
      <c r="M361" s="99"/>
      <c r="S361" s="74"/>
    </row>
    <row r="362" spans="4:19" ht="26.1" customHeight="1" x14ac:dyDescent="0.25">
      <c r="D362" s="74"/>
      <c r="F362" s="19"/>
      <c r="H362" s="119"/>
      <c r="I362" s="75"/>
      <c r="J362" s="75"/>
      <c r="K362" s="74"/>
      <c r="L362" s="75"/>
      <c r="M362" s="99"/>
      <c r="S362" s="74"/>
    </row>
    <row r="363" spans="4:19" ht="26.1" customHeight="1" x14ac:dyDescent="0.25">
      <c r="D363" s="74"/>
      <c r="F363" s="19"/>
      <c r="H363" s="119"/>
      <c r="I363" s="75"/>
      <c r="J363" s="75"/>
      <c r="K363" s="74"/>
      <c r="L363" s="75"/>
      <c r="M363" s="99"/>
      <c r="S363" s="74"/>
    </row>
    <row r="364" spans="4:19" ht="26.1" customHeight="1" x14ac:dyDescent="0.25">
      <c r="D364" s="74"/>
      <c r="F364" s="19"/>
      <c r="H364" s="119"/>
      <c r="I364" s="75"/>
      <c r="J364" s="75"/>
      <c r="K364" s="74"/>
      <c r="L364" s="75"/>
      <c r="M364" s="99"/>
      <c r="S364" s="74"/>
    </row>
    <row r="365" spans="4:19" ht="26.1" customHeight="1" x14ac:dyDescent="0.25">
      <c r="D365" s="74"/>
      <c r="F365" s="19"/>
      <c r="H365" s="119"/>
      <c r="I365" s="75"/>
      <c r="J365" s="75"/>
      <c r="K365" s="74"/>
      <c r="L365" s="75"/>
      <c r="M365" s="99"/>
      <c r="S365" s="74"/>
    </row>
    <row r="366" spans="4:19" ht="26.1" customHeight="1" x14ac:dyDescent="0.25">
      <c r="D366" s="74"/>
      <c r="F366" s="19"/>
      <c r="H366" s="119"/>
      <c r="I366" s="75"/>
      <c r="J366" s="75"/>
      <c r="K366" s="74"/>
      <c r="L366" s="75"/>
      <c r="M366" s="99"/>
      <c r="S366" s="74"/>
    </row>
    <row r="367" spans="4:19" ht="26.1" customHeight="1" x14ac:dyDescent="0.25">
      <c r="D367" s="74"/>
      <c r="F367" s="19"/>
      <c r="H367" s="119"/>
      <c r="I367" s="75"/>
      <c r="J367" s="75"/>
      <c r="K367" s="74"/>
      <c r="L367" s="75"/>
      <c r="M367" s="99"/>
      <c r="S367" s="74"/>
    </row>
    <row r="368" spans="4:19" ht="26.1" customHeight="1" x14ac:dyDescent="0.25">
      <c r="D368" s="74"/>
      <c r="F368" s="19"/>
      <c r="H368" s="119"/>
      <c r="I368" s="75"/>
      <c r="J368" s="75"/>
      <c r="K368" s="74"/>
      <c r="L368" s="75"/>
      <c r="M368" s="99"/>
      <c r="S368" s="74"/>
    </row>
    <row r="369" spans="4:19" ht="26.1" customHeight="1" x14ac:dyDescent="0.25">
      <c r="D369" s="74"/>
      <c r="F369" s="19"/>
      <c r="H369" s="119"/>
      <c r="I369" s="75"/>
      <c r="J369" s="75"/>
      <c r="K369" s="74"/>
      <c r="L369" s="75"/>
      <c r="M369" s="99"/>
      <c r="S369" s="74"/>
    </row>
    <row r="370" spans="4:19" ht="26.1" customHeight="1" x14ac:dyDescent="0.25">
      <c r="D370" s="74"/>
      <c r="F370" s="19"/>
      <c r="H370" s="119"/>
      <c r="I370" s="75"/>
      <c r="J370" s="75"/>
      <c r="K370" s="74"/>
      <c r="L370" s="75"/>
      <c r="M370" s="99"/>
      <c r="S370" s="74"/>
    </row>
    <row r="371" spans="4:19" ht="26.1" customHeight="1" x14ac:dyDescent="0.25">
      <c r="D371" s="74"/>
      <c r="F371" s="19"/>
      <c r="H371" s="119"/>
      <c r="I371" s="75"/>
      <c r="J371" s="75"/>
      <c r="K371" s="74"/>
      <c r="L371" s="75"/>
      <c r="M371" s="99"/>
      <c r="S371" s="74"/>
    </row>
    <row r="372" spans="4:19" ht="26.1" customHeight="1" x14ac:dyDescent="0.25">
      <c r="D372" s="74"/>
      <c r="F372" s="19"/>
      <c r="H372" s="119"/>
      <c r="I372" s="75"/>
      <c r="J372" s="75"/>
      <c r="K372" s="74"/>
      <c r="L372" s="75"/>
      <c r="M372" s="99"/>
      <c r="S372" s="74"/>
    </row>
    <row r="373" spans="4:19" ht="26.1" customHeight="1" x14ac:dyDescent="0.25">
      <c r="D373" s="74"/>
      <c r="F373" s="19"/>
      <c r="H373" s="119"/>
      <c r="I373" s="75"/>
      <c r="J373" s="75"/>
      <c r="K373" s="74"/>
      <c r="L373" s="75"/>
      <c r="M373" s="99"/>
      <c r="S373" s="74"/>
    </row>
    <row r="374" spans="4:19" ht="26.1" customHeight="1" x14ac:dyDescent="0.25">
      <c r="D374" s="74"/>
      <c r="F374" s="19"/>
      <c r="H374" s="119"/>
      <c r="I374" s="75"/>
      <c r="J374" s="75"/>
      <c r="K374" s="74"/>
      <c r="L374" s="75"/>
      <c r="M374" s="99"/>
      <c r="S374" s="74"/>
    </row>
    <row r="375" spans="4:19" ht="26.1" customHeight="1" x14ac:dyDescent="0.25">
      <c r="D375" s="74"/>
      <c r="F375" s="19"/>
      <c r="H375" s="119"/>
      <c r="I375" s="75"/>
      <c r="J375" s="75"/>
      <c r="K375" s="74"/>
      <c r="L375" s="75"/>
      <c r="M375" s="99"/>
      <c r="S375" s="74"/>
    </row>
    <row r="376" spans="4:19" ht="26.1" customHeight="1" x14ac:dyDescent="0.25">
      <c r="D376" s="74"/>
      <c r="F376" s="19"/>
      <c r="H376" s="119"/>
      <c r="I376" s="75"/>
      <c r="J376" s="75"/>
      <c r="K376" s="74"/>
      <c r="L376" s="75"/>
      <c r="M376" s="99"/>
      <c r="S376" s="74"/>
    </row>
    <row r="377" spans="4:19" ht="26.1" customHeight="1" x14ac:dyDescent="0.25">
      <c r="D377" s="74"/>
      <c r="F377" s="19"/>
      <c r="H377" s="119"/>
      <c r="I377" s="75"/>
      <c r="J377" s="75"/>
      <c r="K377" s="74"/>
      <c r="L377" s="75"/>
      <c r="M377" s="99"/>
      <c r="S377" s="74"/>
    </row>
    <row r="378" spans="4:19" ht="26.1" customHeight="1" x14ac:dyDescent="0.25">
      <c r="D378" s="74"/>
      <c r="F378" s="19"/>
      <c r="H378" s="119"/>
      <c r="I378" s="75"/>
      <c r="J378" s="75"/>
      <c r="K378" s="74"/>
      <c r="L378" s="75"/>
      <c r="M378" s="99"/>
      <c r="S378" s="74"/>
    </row>
    <row r="379" spans="4:19" ht="26.1" customHeight="1" x14ac:dyDescent="0.25">
      <c r="D379" s="74"/>
      <c r="F379" s="19"/>
      <c r="H379" s="119"/>
      <c r="I379" s="75"/>
      <c r="J379" s="75"/>
      <c r="K379" s="74"/>
      <c r="L379" s="75"/>
      <c r="M379" s="99"/>
      <c r="S379" s="74"/>
    </row>
    <row r="380" spans="4:19" ht="26.1" customHeight="1" x14ac:dyDescent="0.25">
      <c r="D380" s="74"/>
      <c r="F380" s="19"/>
      <c r="H380" s="119"/>
      <c r="I380" s="75"/>
      <c r="J380" s="75"/>
      <c r="K380" s="74"/>
      <c r="L380" s="75"/>
      <c r="M380" s="99"/>
      <c r="S380" s="74"/>
    </row>
    <row r="381" spans="4:19" ht="26.1" customHeight="1" x14ac:dyDescent="0.25">
      <c r="D381" s="74"/>
      <c r="F381" s="19"/>
      <c r="H381" s="119"/>
      <c r="I381" s="75"/>
      <c r="J381" s="75"/>
      <c r="K381" s="74"/>
      <c r="L381" s="75"/>
      <c r="M381" s="99"/>
      <c r="S381" s="74"/>
    </row>
    <row r="382" spans="4:19" ht="26.1" customHeight="1" x14ac:dyDescent="0.25">
      <c r="D382" s="74"/>
      <c r="F382" s="19"/>
      <c r="H382" s="119"/>
      <c r="I382" s="75"/>
      <c r="J382" s="75"/>
      <c r="K382" s="74"/>
      <c r="L382" s="75"/>
      <c r="M382" s="99"/>
      <c r="S382" s="74"/>
    </row>
    <row r="383" spans="4:19" ht="26.1" customHeight="1" x14ac:dyDescent="0.25">
      <c r="D383" s="74"/>
      <c r="F383" s="19"/>
      <c r="H383" s="119"/>
      <c r="I383" s="75"/>
      <c r="J383" s="75"/>
      <c r="K383" s="74"/>
      <c r="L383" s="75"/>
      <c r="M383" s="99"/>
      <c r="S383" s="74"/>
    </row>
    <row r="384" spans="4:19" ht="26.1" customHeight="1" x14ac:dyDescent="0.25">
      <c r="D384" s="74"/>
      <c r="F384" s="19"/>
      <c r="H384" s="119"/>
      <c r="I384" s="75"/>
      <c r="J384" s="75"/>
      <c r="K384" s="74"/>
      <c r="L384" s="75"/>
      <c r="M384" s="99"/>
      <c r="S384" s="74"/>
    </row>
    <row r="385" spans="4:19" ht="26.1" customHeight="1" x14ac:dyDescent="0.25">
      <c r="D385" s="74"/>
      <c r="F385" s="19"/>
      <c r="H385" s="119"/>
      <c r="I385" s="75"/>
      <c r="J385" s="75"/>
      <c r="K385" s="74"/>
      <c r="L385" s="75"/>
      <c r="M385" s="99"/>
      <c r="S385" s="74"/>
    </row>
    <row r="386" spans="4:19" ht="26.1" customHeight="1" x14ac:dyDescent="0.25">
      <c r="D386" s="74"/>
      <c r="F386" s="19"/>
      <c r="H386" s="119"/>
      <c r="I386" s="75"/>
      <c r="J386" s="75"/>
      <c r="K386" s="74"/>
      <c r="L386" s="75"/>
      <c r="M386" s="99"/>
      <c r="S386" s="74"/>
    </row>
    <row r="387" spans="4:19" ht="26.1" customHeight="1" x14ac:dyDescent="0.25">
      <c r="D387" s="74"/>
      <c r="F387" s="19"/>
      <c r="H387" s="119"/>
      <c r="I387" s="75"/>
      <c r="J387" s="75"/>
      <c r="K387" s="74"/>
      <c r="L387" s="75"/>
      <c r="M387" s="99"/>
      <c r="S387" s="74"/>
    </row>
    <row r="388" spans="4:19" ht="26.1" customHeight="1" x14ac:dyDescent="0.25">
      <c r="D388" s="74"/>
      <c r="F388" s="19"/>
      <c r="H388" s="119"/>
      <c r="I388" s="75"/>
      <c r="J388" s="75"/>
      <c r="K388" s="74"/>
      <c r="L388" s="75"/>
      <c r="M388" s="99"/>
      <c r="S388" s="74"/>
    </row>
    <row r="389" spans="4:19" ht="26.1" customHeight="1" x14ac:dyDescent="0.25">
      <c r="D389" s="74"/>
      <c r="F389" s="19"/>
      <c r="H389" s="119"/>
      <c r="I389" s="75"/>
      <c r="J389" s="75"/>
      <c r="K389" s="74"/>
      <c r="L389" s="75"/>
      <c r="M389" s="99"/>
      <c r="S389" s="74"/>
    </row>
    <row r="390" spans="4:19" ht="26.1" customHeight="1" x14ac:dyDescent="0.25">
      <c r="D390" s="74"/>
      <c r="F390" s="19"/>
      <c r="H390" s="119"/>
      <c r="I390" s="75"/>
      <c r="J390" s="75"/>
      <c r="K390" s="74"/>
      <c r="L390" s="75"/>
      <c r="M390" s="99"/>
      <c r="S390" s="74"/>
    </row>
    <row r="391" spans="4:19" ht="26.1" customHeight="1" x14ac:dyDescent="0.25">
      <c r="D391" s="74"/>
      <c r="F391" s="19"/>
      <c r="H391" s="119"/>
      <c r="I391" s="75"/>
      <c r="J391" s="75"/>
      <c r="K391" s="74"/>
      <c r="L391" s="75"/>
      <c r="M391" s="99"/>
      <c r="S391" s="74"/>
    </row>
    <row r="392" spans="4:19" ht="26.1" customHeight="1" x14ac:dyDescent="0.25">
      <c r="D392" s="74"/>
      <c r="F392" s="19"/>
      <c r="H392" s="119"/>
      <c r="I392" s="75"/>
      <c r="J392" s="75"/>
      <c r="K392" s="74"/>
      <c r="L392" s="75"/>
      <c r="M392" s="99"/>
      <c r="S392" s="74"/>
    </row>
    <row r="393" spans="4:19" ht="26.1" customHeight="1" x14ac:dyDescent="0.25">
      <c r="D393" s="74"/>
      <c r="F393" s="19"/>
      <c r="H393" s="119"/>
      <c r="I393" s="75"/>
      <c r="J393" s="75"/>
      <c r="K393" s="74"/>
      <c r="L393" s="75"/>
      <c r="M393" s="99"/>
      <c r="S393" s="74"/>
    </row>
    <row r="394" spans="4:19" ht="26.1" customHeight="1" x14ac:dyDescent="0.25">
      <c r="D394" s="74"/>
      <c r="F394" s="19"/>
      <c r="H394" s="119"/>
      <c r="I394" s="75"/>
      <c r="J394" s="75"/>
      <c r="K394" s="74"/>
      <c r="L394" s="75"/>
      <c r="M394" s="99"/>
      <c r="S394" s="74"/>
    </row>
    <row r="395" spans="4:19" ht="26.1" customHeight="1" x14ac:dyDescent="0.25">
      <c r="D395" s="74"/>
      <c r="F395" s="19"/>
      <c r="H395" s="119"/>
      <c r="I395" s="75"/>
      <c r="J395" s="75"/>
      <c r="K395" s="74"/>
      <c r="L395" s="75"/>
      <c r="M395" s="99"/>
      <c r="S395" s="74"/>
    </row>
    <row r="396" spans="4:19" ht="26.1" customHeight="1" x14ac:dyDescent="0.25">
      <c r="D396" s="74"/>
      <c r="F396" s="19"/>
      <c r="H396" s="119"/>
      <c r="I396" s="75"/>
      <c r="J396" s="75"/>
      <c r="K396" s="74"/>
      <c r="L396" s="75"/>
      <c r="M396" s="99"/>
      <c r="S396" s="74"/>
    </row>
    <row r="397" spans="4:19" ht="26.1" customHeight="1" x14ac:dyDescent="0.25">
      <c r="D397" s="74"/>
      <c r="F397" s="19"/>
      <c r="H397" s="119"/>
      <c r="I397" s="75"/>
      <c r="J397" s="75"/>
      <c r="K397" s="74"/>
      <c r="L397" s="75"/>
      <c r="M397" s="99"/>
      <c r="S397" s="74"/>
    </row>
    <row r="398" spans="4:19" ht="26.1" customHeight="1" x14ac:dyDescent="0.25">
      <c r="D398" s="74"/>
      <c r="F398" s="19"/>
      <c r="H398" s="119"/>
      <c r="I398" s="75"/>
      <c r="J398" s="75"/>
      <c r="K398" s="74"/>
      <c r="L398" s="75"/>
      <c r="M398" s="99"/>
      <c r="S398" s="74"/>
    </row>
    <row r="399" spans="4:19" ht="26.1" customHeight="1" x14ac:dyDescent="0.25">
      <c r="D399" s="74"/>
      <c r="F399" s="19"/>
      <c r="H399" s="119"/>
      <c r="I399" s="75"/>
      <c r="J399" s="75"/>
      <c r="K399" s="74"/>
      <c r="L399" s="75"/>
      <c r="M399" s="99"/>
      <c r="S399" s="74"/>
    </row>
    <row r="400" spans="4:19" ht="26.1" customHeight="1" x14ac:dyDescent="0.25">
      <c r="D400" s="74"/>
      <c r="F400" s="19"/>
      <c r="H400" s="119"/>
      <c r="I400" s="75"/>
      <c r="J400" s="75"/>
      <c r="K400" s="74"/>
      <c r="L400" s="75"/>
      <c r="M400" s="99"/>
      <c r="S400" s="74"/>
    </row>
    <row r="401" spans="4:19" ht="26.1" customHeight="1" x14ac:dyDescent="0.25">
      <c r="D401" s="74"/>
      <c r="F401" s="19"/>
      <c r="H401" s="119"/>
      <c r="I401" s="75"/>
      <c r="J401" s="75"/>
      <c r="K401" s="74"/>
      <c r="L401" s="75"/>
      <c r="M401" s="99"/>
      <c r="S401" s="74"/>
    </row>
    <row r="402" spans="4:19" ht="26.1" customHeight="1" x14ac:dyDescent="0.25">
      <c r="D402" s="74"/>
      <c r="F402" s="19"/>
      <c r="H402" s="119"/>
      <c r="I402" s="75"/>
      <c r="J402" s="75"/>
      <c r="K402" s="74"/>
      <c r="L402" s="75"/>
      <c r="M402" s="99"/>
      <c r="S402" s="74"/>
    </row>
    <row r="403" spans="4:19" ht="26.1" customHeight="1" x14ac:dyDescent="0.25">
      <c r="D403" s="74"/>
      <c r="F403" s="19"/>
      <c r="H403" s="119"/>
      <c r="I403" s="75"/>
      <c r="J403" s="75"/>
      <c r="K403" s="74"/>
      <c r="L403" s="75"/>
      <c r="M403" s="99"/>
      <c r="S403" s="74"/>
    </row>
    <row r="404" spans="4:19" ht="26.1" customHeight="1" x14ac:dyDescent="0.25">
      <c r="D404" s="74"/>
      <c r="F404" s="19"/>
      <c r="H404" s="119"/>
      <c r="I404" s="75"/>
      <c r="J404" s="75"/>
      <c r="K404" s="74"/>
      <c r="L404" s="75"/>
      <c r="M404" s="99"/>
      <c r="S404" s="74"/>
    </row>
    <row r="405" spans="4:19" ht="26.1" customHeight="1" x14ac:dyDescent="0.25">
      <c r="D405" s="74"/>
      <c r="F405" s="19"/>
      <c r="H405" s="119"/>
      <c r="I405" s="75"/>
      <c r="J405" s="75"/>
      <c r="K405" s="74"/>
      <c r="L405" s="75"/>
      <c r="M405" s="99"/>
      <c r="S405" s="74"/>
    </row>
    <row r="406" spans="4:19" ht="26.1" customHeight="1" x14ac:dyDescent="0.25">
      <c r="D406" s="74"/>
      <c r="F406" s="19"/>
      <c r="H406" s="119"/>
      <c r="I406" s="75"/>
      <c r="J406" s="75"/>
      <c r="K406" s="74"/>
      <c r="L406" s="75"/>
      <c r="M406" s="99"/>
      <c r="S406" s="74"/>
    </row>
    <row r="407" spans="4:19" ht="26.1" customHeight="1" x14ac:dyDescent="0.25">
      <c r="D407" s="74"/>
      <c r="F407" s="19"/>
      <c r="H407" s="119"/>
      <c r="I407" s="75"/>
      <c r="J407" s="75"/>
      <c r="K407" s="74"/>
      <c r="L407" s="75"/>
      <c r="M407" s="99"/>
      <c r="S407" s="74"/>
    </row>
    <row r="408" spans="4:19" ht="26.1" customHeight="1" x14ac:dyDescent="0.25">
      <c r="D408" s="74"/>
      <c r="F408" s="19"/>
      <c r="H408" s="119"/>
      <c r="I408" s="75"/>
      <c r="J408" s="75"/>
      <c r="K408" s="74"/>
      <c r="L408" s="75"/>
      <c r="M408" s="99"/>
      <c r="S408" s="74"/>
    </row>
    <row r="409" spans="4:19" ht="26.1" customHeight="1" x14ac:dyDescent="0.25">
      <c r="D409" s="74"/>
      <c r="F409" s="19"/>
      <c r="H409" s="119"/>
      <c r="I409" s="75"/>
      <c r="J409" s="75"/>
      <c r="K409" s="74"/>
      <c r="L409" s="75"/>
      <c r="M409" s="99"/>
      <c r="S409" s="74"/>
    </row>
    <row r="410" spans="4:19" ht="26.1" customHeight="1" x14ac:dyDescent="0.25">
      <c r="D410" s="74"/>
      <c r="F410" s="19"/>
      <c r="H410" s="119"/>
      <c r="I410" s="75"/>
      <c r="J410" s="75"/>
      <c r="K410" s="74"/>
      <c r="L410" s="75"/>
      <c r="M410" s="99"/>
      <c r="S410" s="74"/>
    </row>
    <row r="411" spans="4:19" ht="26.1" customHeight="1" x14ac:dyDescent="0.25">
      <c r="D411" s="74"/>
      <c r="F411" s="19"/>
      <c r="H411" s="119"/>
      <c r="I411" s="75"/>
      <c r="J411" s="75"/>
      <c r="K411" s="74"/>
      <c r="L411" s="75"/>
      <c r="M411" s="99"/>
      <c r="S411" s="74"/>
    </row>
    <row r="412" spans="4:19" ht="26.1" customHeight="1" x14ac:dyDescent="0.25">
      <c r="D412" s="74"/>
      <c r="F412" s="19"/>
      <c r="H412" s="119"/>
      <c r="I412" s="75"/>
      <c r="J412" s="75"/>
      <c r="K412" s="74"/>
      <c r="L412" s="75"/>
      <c r="M412" s="99"/>
      <c r="S412" s="74"/>
    </row>
    <row r="413" spans="4:19" ht="26.1" customHeight="1" x14ac:dyDescent="0.25">
      <c r="D413" s="74"/>
      <c r="F413" s="19"/>
      <c r="H413" s="119"/>
      <c r="I413" s="75"/>
      <c r="J413" s="75"/>
      <c r="K413" s="74"/>
      <c r="L413" s="75"/>
      <c r="M413" s="99"/>
      <c r="S413" s="74"/>
    </row>
    <row r="414" spans="4:19" ht="26.1" customHeight="1" x14ac:dyDescent="0.25">
      <c r="D414" s="74"/>
      <c r="F414" s="19"/>
      <c r="H414" s="119"/>
      <c r="I414" s="75"/>
      <c r="J414" s="75"/>
      <c r="K414" s="74"/>
      <c r="L414" s="75"/>
      <c r="M414" s="99"/>
      <c r="S414" s="74"/>
    </row>
    <row r="415" spans="4:19" ht="26.1" customHeight="1" x14ac:dyDescent="0.25">
      <c r="D415" s="74"/>
      <c r="F415" s="19"/>
      <c r="H415" s="119"/>
      <c r="I415" s="75"/>
      <c r="J415" s="75"/>
      <c r="K415" s="74"/>
      <c r="L415" s="75"/>
      <c r="M415" s="99"/>
      <c r="S415" s="74"/>
    </row>
    <row r="416" spans="4:19" ht="26.1" customHeight="1" x14ac:dyDescent="0.25">
      <c r="D416" s="74"/>
      <c r="F416" s="19"/>
      <c r="H416" s="119"/>
      <c r="I416" s="75"/>
      <c r="J416" s="75"/>
      <c r="K416" s="74"/>
      <c r="L416" s="75"/>
      <c r="M416" s="99"/>
      <c r="S416" s="74"/>
    </row>
    <row r="417" spans="4:19" ht="26.1" customHeight="1" x14ac:dyDescent="0.25">
      <c r="D417" s="74"/>
      <c r="F417" s="19"/>
      <c r="H417" s="119"/>
      <c r="I417" s="75"/>
      <c r="J417" s="75"/>
      <c r="K417" s="74"/>
      <c r="L417" s="75"/>
      <c r="M417" s="99"/>
      <c r="S417" s="74"/>
    </row>
    <row r="418" spans="4:19" ht="26.1" customHeight="1" x14ac:dyDescent="0.25">
      <c r="D418" s="74"/>
      <c r="F418" s="19"/>
      <c r="H418" s="119"/>
      <c r="I418" s="75"/>
      <c r="J418" s="75"/>
      <c r="K418" s="74"/>
      <c r="L418" s="75"/>
      <c r="M418" s="99"/>
      <c r="S418" s="74"/>
    </row>
    <row r="419" spans="4:19" ht="26.1" customHeight="1" x14ac:dyDescent="0.25">
      <c r="D419" s="74"/>
      <c r="F419" s="19"/>
      <c r="H419" s="119"/>
      <c r="I419" s="75"/>
      <c r="J419" s="75"/>
      <c r="K419" s="74"/>
      <c r="L419" s="75"/>
      <c r="M419" s="99"/>
      <c r="S419" s="74"/>
    </row>
    <row r="420" spans="4:19" ht="26.1" customHeight="1" x14ac:dyDescent="0.25">
      <c r="D420" s="74"/>
      <c r="F420" s="19"/>
      <c r="H420" s="119"/>
      <c r="I420" s="75"/>
      <c r="J420" s="75"/>
      <c r="K420" s="74"/>
      <c r="L420" s="75"/>
      <c r="M420" s="99"/>
      <c r="S420" s="74"/>
    </row>
    <row r="421" spans="4:19" ht="26.1" customHeight="1" x14ac:dyDescent="0.25">
      <c r="D421" s="74"/>
      <c r="F421" s="19"/>
      <c r="H421" s="119"/>
      <c r="I421" s="75"/>
      <c r="J421" s="75"/>
      <c r="K421" s="74"/>
      <c r="L421" s="75"/>
      <c r="M421" s="99"/>
      <c r="S421" s="74"/>
    </row>
    <row r="422" spans="4:19" ht="26.1" customHeight="1" x14ac:dyDescent="0.25">
      <c r="D422" s="74"/>
      <c r="F422" s="19"/>
      <c r="H422" s="119"/>
      <c r="I422" s="75"/>
      <c r="J422" s="75"/>
      <c r="K422" s="74"/>
      <c r="L422" s="75"/>
      <c r="M422" s="99"/>
      <c r="S422" s="74"/>
    </row>
    <row r="423" spans="4:19" ht="26.1" customHeight="1" x14ac:dyDescent="0.25">
      <c r="D423" s="74"/>
      <c r="F423" s="19"/>
      <c r="H423" s="119"/>
      <c r="I423" s="75"/>
      <c r="J423" s="75"/>
      <c r="K423" s="74"/>
      <c r="L423" s="75"/>
      <c r="M423" s="99"/>
      <c r="S423" s="74"/>
    </row>
    <row r="424" spans="4:19" ht="26.1" customHeight="1" x14ac:dyDescent="0.25">
      <c r="D424" s="74"/>
      <c r="F424" s="19"/>
      <c r="H424" s="119"/>
      <c r="I424" s="75"/>
      <c r="J424" s="75"/>
      <c r="K424" s="74"/>
      <c r="L424" s="75"/>
      <c r="M424" s="99"/>
      <c r="S424" s="74"/>
    </row>
    <row r="425" spans="4:19" ht="26.1" customHeight="1" x14ac:dyDescent="0.25">
      <c r="D425" s="74"/>
      <c r="F425" s="19"/>
      <c r="H425" s="119"/>
      <c r="I425" s="75"/>
      <c r="J425" s="75"/>
      <c r="K425" s="74"/>
      <c r="L425" s="75"/>
      <c r="M425" s="99"/>
      <c r="S425" s="74"/>
    </row>
    <row r="426" spans="4:19" ht="26.1" customHeight="1" x14ac:dyDescent="0.25">
      <c r="D426" s="74"/>
      <c r="F426" s="19"/>
      <c r="H426" s="119"/>
      <c r="I426" s="75"/>
      <c r="J426" s="75"/>
      <c r="K426" s="74"/>
      <c r="L426" s="75"/>
      <c r="M426" s="99"/>
      <c r="S426" s="74"/>
    </row>
    <row r="427" spans="4:19" ht="26.1" customHeight="1" x14ac:dyDescent="0.25">
      <c r="D427" s="74"/>
      <c r="F427" s="19"/>
      <c r="H427" s="119"/>
      <c r="I427" s="75"/>
      <c r="J427" s="75"/>
      <c r="K427" s="74"/>
      <c r="L427" s="75"/>
      <c r="M427" s="99"/>
      <c r="S427" s="74"/>
    </row>
    <row r="428" spans="4:19" ht="26.1" customHeight="1" x14ac:dyDescent="0.25">
      <c r="D428" s="74"/>
      <c r="F428" s="19"/>
      <c r="H428" s="119"/>
      <c r="I428" s="75"/>
      <c r="J428" s="75"/>
      <c r="K428" s="74"/>
      <c r="L428" s="75"/>
      <c r="M428" s="99"/>
      <c r="S428" s="74"/>
    </row>
    <row r="429" spans="4:19" ht="26.1" customHeight="1" x14ac:dyDescent="0.25">
      <c r="D429" s="74"/>
      <c r="F429" s="19"/>
      <c r="H429" s="119"/>
      <c r="I429" s="75"/>
      <c r="J429" s="75"/>
      <c r="K429" s="74"/>
      <c r="L429" s="75"/>
      <c r="M429" s="99"/>
      <c r="S429" s="74"/>
    </row>
    <row r="430" spans="4:19" ht="26.1" customHeight="1" x14ac:dyDescent="0.25">
      <c r="D430" s="74"/>
      <c r="F430" s="19"/>
      <c r="H430" s="119"/>
      <c r="I430" s="75"/>
      <c r="J430" s="75"/>
      <c r="K430" s="74"/>
      <c r="L430" s="75"/>
      <c r="M430" s="99"/>
      <c r="S430" s="74"/>
    </row>
    <row r="431" spans="4:19" ht="26.1" customHeight="1" x14ac:dyDescent="0.25">
      <c r="D431" s="74"/>
      <c r="F431" s="19"/>
      <c r="H431" s="119"/>
      <c r="I431" s="75"/>
      <c r="J431" s="75"/>
      <c r="K431" s="74"/>
      <c r="L431" s="75"/>
      <c r="M431" s="99"/>
      <c r="S431" s="74"/>
    </row>
    <row r="432" spans="4:19" ht="26.1" customHeight="1" x14ac:dyDescent="0.25">
      <c r="D432" s="74"/>
      <c r="F432" s="19"/>
      <c r="H432" s="119"/>
      <c r="I432" s="75"/>
      <c r="J432" s="75"/>
      <c r="K432" s="74"/>
      <c r="L432" s="75"/>
      <c r="M432" s="99"/>
      <c r="S432" s="74"/>
    </row>
    <row r="433" spans="4:19" ht="26.1" customHeight="1" x14ac:dyDescent="0.25">
      <c r="D433" s="74"/>
      <c r="F433" s="19"/>
      <c r="H433" s="119"/>
      <c r="I433" s="75"/>
      <c r="J433" s="75"/>
      <c r="K433" s="74"/>
      <c r="L433" s="75"/>
      <c r="M433" s="99"/>
      <c r="S433" s="74"/>
    </row>
    <row r="434" spans="4:19" ht="26.1" customHeight="1" x14ac:dyDescent="0.25">
      <c r="D434" s="74"/>
      <c r="F434" s="19"/>
      <c r="H434" s="119"/>
      <c r="I434" s="75"/>
      <c r="J434" s="75"/>
      <c r="K434" s="74"/>
      <c r="L434" s="75"/>
      <c r="M434" s="99"/>
      <c r="S434" s="74"/>
    </row>
    <row r="435" spans="4:19" ht="26.1" customHeight="1" x14ac:dyDescent="0.25">
      <c r="D435" s="74"/>
      <c r="F435" s="19"/>
      <c r="H435" s="119"/>
      <c r="I435" s="75"/>
      <c r="J435" s="75"/>
      <c r="K435" s="74"/>
      <c r="L435" s="75"/>
      <c r="M435" s="99"/>
      <c r="S435" s="74"/>
    </row>
    <row r="436" spans="4:19" ht="26.1" customHeight="1" x14ac:dyDescent="0.25">
      <c r="D436" s="74"/>
      <c r="F436" s="19"/>
      <c r="H436" s="119"/>
      <c r="I436" s="75"/>
      <c r="J436" s="75"/>
      <c r="K436" s="74"/>
      <c r="L436" s="75"/>
      <c r="M436" s="99"/>
      <c r="S436" s="74"/>
    </row>
    <row r="437" spans="4:19" ht="26.1" customHeight="1" x14ac:dyDescent="0.25">
      <c r="D437" s="74"/>
      <c r="F437" s="19"/>
      <c r="H437" s="119"/>
      <c r="I437" s="75"/>
      <c r="J437" s="75"/>
      <c r="K437" s="74"/>
      <c r="L437" s="75"/>
      <c r="M437" s="99"/>
      <c r="S437" s="74"/>
    </row>
    <row r="438" spans="4:19" ht="26.1" customHeight="1" x14ac:dyDescent="0.25">
      <c r="D438" s="74"/>
      <c r="F438" s="19"/>
      <c r="H438" s="119"/>
      <c r="I438" s="75"/>
      <c r="J438" s="75"/>
      <c r="K438" s="74"/>
      <c r="L438" s="75"/>
      <c r="M438" s="99"/>
      <c r="S438" s="74"/>
    </row>
    <row r="439" spans="4:19" ht="26.1" customHeight="1" x14ac:dyDescent="0.25">
      <c r="D439" s="74"/>
      <c r="F439" s="19"/>
      <c r="H439" s="119"/>
      <c r="I439" s="75"/>
      <c r="J439" s="75"/>
      <c r="K439" s="74"/>
      <c r="L439" s="75"/>
      <c r="M439" s="99"/>
      <c r="S439" s="74"/>
    </row>
    <row r="440" spans="4:19" ht="26.1" customHeight="1" x14ac:dyDescent="0.25">
      <c r="D440" s="74"/>
      <c r="F440" s="19"/>
      <c r="H440" s="119"/>
      <c r="I440" s="75"/>
      <c r="J440" s="75"/>
      <c r="K440" s="74"/>
      <c r="L440" s="75"/>
      <c r="M440" s="99"/>
      <c r="S440" s="74"/>
    </row>
    <row r="441" spans="4:19" ht="26.1" customHeight="1" x14ac:dyDescent="0.25">
      <c r="D441" s="74"/>
      <c r="F441" s="19"/>
      <c r="H441" s="119"/>
      <c r="I441" s="75"/>
      <c r="J441" s="75"/>
      <c r="K441" s="74"/>
      <c r="L441" s="75"/>
      <c r="M441" s="99"/>
      <c r="S441" s="74"/>
    </row>
    <row r="442" spans="4:19" ht="26.1" customHeight="1" x14ac:dyDescent="0.25">
      <c r="D442" s="74"/>
      <c r="F442" s="19"/>
      <c r="H442" s="119"/>
      <c r="I442" s="75"/>
      <c r="J442" s="75"/>
      <c r="K442" s="74"/>
      <c r="L442" s="75"/>
      <c r="M442" s="99"/>
      <c r="S442" s="74"/>
    </row>
    <row r="443" spans="4:19" ht="26.1" customHeight="1" x14ac:dyDescent="0.25">
      <c r="D443" s="74"/>
      <c r="F443" s="19"/>
      <c r="H443" s="119"/>
      <c r="I443" s="75"/>
      <c r="J443" s="75"/>
      <c r="K443" s="74"/>
      <c r="L443" s="75"/>
      <c r="M443" s="99"/>
      <c r="S443" s="74"/>
    </row>
    <row r="444" spans="4:19" ht="26.1" customHeight="1" x14ac:dyDescent="0.25">
      <c r="D444" s="74"/>
      <c r="F444" s="19"/>
      <c r="H444" s="119"/>
      <c r="I444" s="75"/>
      <c r="J444" s="75"/>
      <c r="K444" s="74"/>
      <c r="L444" s="75"/>
      <c r="M444" s="99"/>
      <c r="S444" s="74"/>
    </row>
    <row r="445" spans="4:19" ht="26.1" customHeight="1" x14ac:dyDescent="0.25">
      <c r="D445" s="74"/>
      <c r="F445" s="19"/>
      <c r="H445" s="119"/>
      <c r="I445" s="75"/>
      <c r="J445" s="75"/>
      <c r="K445" s="74"/>
      <c r="L445" s="75"/>
      <c r="M445" s="99"/>
      <c r="S445" s="74"/>
    </row>
    <row r="446" spans="4:19" ht="26.1" customHeight="1" x14ac:dyDescent="0.25">
      <c r="D446" s="74"/>
      <c r="F446" s="19"/>
      <c r="H446" s="119"/>
      <c r="I446" s="75"/>
      <c r="J446" s="75"/>
      <c r="K446" s="74"/>
      <c r="L446" s="75"/>
      <c r="M446" s="99"/>
      <c r="S446" s="74"/>
    </row>
    <row r="447" spans="4:19" ht="26.1" customHeight="1" x14ac:dyDescent="0.25">
      <c r="D447" s="74"/>
      <c r="F447" s="19"/>
      <c r="H447" s="119"/>
      <c r="I447" s="75"/>
      <c r="J447" s="75"/>
      <c r="K447" s="74"/>
      <c r="L447" s="75"/>
      <c r="M447" s="99"/>
      <c r="S447" s="74"/>
    </row>
    <row r="448" spans="4:19" ht="26.1" customHeight="1" x14ac:dyDescent="0.25">
      <c r="D448" s="74"/>
      <c r="F448" s="19"/>
      <c r="H448" s="119"/>
      <c r="I448" s="75"/>
      <c r="J448" s="75"/>
      <c r="K448" s="74"/>
      <c r="L448" s="75"/>
      <c r="M448" s="99"/>
      <c r="S448" s="74"/>
    </row>
    <row r="449" spans="4:19" ht="26.1" customHeight="1" x14ac:dyDescent="0.25">
      <c r="D449" s="74"/>
      <c r="F449" s="19"/>
      <c r="H449" s="119"/>
      <c r="I449" s="75"/>
      <c r="J449" s="75"/>
      <c r="K449" s="74"/>
      <c r="L449" s="75"/>
      <c r="M449" s="99"/>
      <c r="S449" s="74"/>
    </row>
    <row r="450" spans="4:19" ht="26.1" customHeight="1" x14ac:dyDescent="0.25">
      <c r="D450" s="74"/>
      <c r="F450" s="19"/>
      <c r="H450" s="119"/>
      <c r="I450" s="75"/>
      <c r="J450" s="75"/>
      <c r="K450" s="74"/>
      <c r="L450" s="75"/>
      <c r="M450" s="99"/>
      <c r="S450" s="74"/>
    </row>
    <row r="451" spans="4:19" ht="26.1" customHeight="1" x14ac:dyDescent="0.25">
      <c r="D451" s="74"/>
      <c r="F451" s="19"/>
      <c r="H451" s="119"/>
      <c r="I451" s="75"/>
      <c r="J451" s="75"/>
      <c r="K451" s="74"/>
      <c r="L451" s="75"/>
      <c r="M451" s="99"/>
      <c r="S451" s="74"/>
    </row>
    <row r="452" spans="4:19" ht="26.1" customHeight="1" x14ac:dyDescent="0.25">
      <c r="D452" s="74"/>
      <c r="F452" s="19"/>
      <c r="H452" s="119"/>
      <c r="I452" s="75"/>
      <c r="J452" s="75"/>
      <c r="K452" s="74"/>
      <c r="L452" s="75"/>
      <c r="M452" s="99"/>
      <c r="S452" s="74"/>
    </row>
    <row r="453" spans="4:19" ht="26.1" customHeight="1" x14ac:dyDescent="0.25">
      <c r="D453" s="74"/>
      <c r="F453" s="19"/>
      <c r="H453" s="119"/>
      <c r="I453" s="75"/>
      <c r="J453" s="75"/>
      <c r="K453" s="74"/>
      <c r="L453" s="75"/>
      <c r="M453" s="99"/>
      <c r="S453" s="74"/>
    </row>
    <row r="454" spans="4:19" ht="26.1" customHeight="1" x14ac:dyDescent="0.25">
      <c r="D454" s="74"/>
      <c r="F454" s="19"/>
      <c r="H454" s="119"/>
      <c r="I454" s="75"/>
      <c r="J454" s="75"/>
      <c r="K454" s="74"/>
      <c r="L454" s="75"/>
      <c r="M454" s="99"/>
      <c r="S454" s="74"/>
    </row>
    <row r="455" spans="4:19" ht="26.1" customHeight="1" x14ac:dyDescent="0.25">
      <c r="D455" s="74"/>
      <c r="F455" s="19"/>
      <c r="H455" s="119"/>
      <c r="I455" s="75"/>
      <c r="J455" s="75"/>
      <c r="K455" s="74"/>
      <c r="L455" s="75"/>
      <c r="M455" s="99"/>
      <c r="S455" s="74"/>
    </row>
    <row r="456" spans="4:19" ht="26.1" customHeight="1" x14ac:dyDescent="0.25">
      <c r="D456" s="74"/>
      <c r="F456" s="19"/>
      <c r="H456" s="119"/>
      <c r="I456" s="75"/>
      <c r="J456" s="75"/>
      <c r="K456" s="74"/>
      <c r="L456" s="75"/>
      <c r="M456" s="99"/>
      <c r="S456" s="74"/>
    </row>
    <row r="457" spans="4:19" ht="26.1" customHeight="1" x14ac:dyDescent="0.25">
      <c r="D457" s="74"/>
      <c r="F457" s="19"/>
      <c r="H457" s="119"/>
      <c r="I457" s="75"/>
      <c r="J457" s="75"/>
      <c r="K457" s="74"/>
      <c r="L457" s="75"/>
      <c r="M457" s="99"/>
      <c r="S457" s="74"/>
    </row>
    <row r="458" spans="4:19" ht="26.1" customHeight="1" x14ac:dyDescent="0.25">
      <c r="D458" s="74"/>
      <c r="F458" s="19"/>
      <c r="H458" s="119"/>
      <c r="I458" s="75"/>
      <c r="J458" s="75"/>
      <c r="K458" s="74"/>
      <c r="L458" s="75"/>
      <c r="M458" s="99"/>
      <c r="S458" s="74"/>
    </row>
    <row r="459" spans="4:19" ht="26.1" customHeight="1" x14ac:dyDescent="0.25">
      <c r="D459" s="74"/>
      <c r="F459" s="19"/>
      <c r="H459" s="119"/>
      <c r="I459" s="75"/>
      <c r="J459" s="75"/>
      <c r="K459" s="74"/>
      <c r="L459" s="75"/>
      <c r="M459" s="99"/>
      <c r="S459" s="74"/>
    </row>
    <row r="460" spans="4:19" ht="26.1" customHeight="1" x14ac:dyDescent="0.25">
      <c r="D460" s="74"/>
      <c r="F460" s="19"/>
      <c r="H460" s="119"/>
      <c r="I460" s="75"/>
      <c r="J460" s="75"/>
      <c r="K460" s="74"/>
      <c r="L460" s="75"/>
      <c r="M460" s="99"/>
      <c r="S460" s="74"/>
    </row>
    <row r="461" spans="4:19" ht="26.1" customHeight="1" x14ac:dyDescent="0.25">
      <c r="D461" s="74"/>
      <c r="F461" s="19"/>
      <c r="H461" s="119"/>
      <c r="I461" s="75"/>
      <c r="J461" s="75"/>
      <c r="K461" s="74"/>
      <c r="L461" s="75"/>
      <c r="M461" s="99"/>
      <c r="S461" s="74"/>
    </row>
    <row r="462" spans="4:19" ht="26.1" customHeight="1" x14ac:dyDescent="0.25">
      <c r="D462" s="74"/>
      <c r="F462" s="19"/>
      <c r="H462" s="119"/>
      <c r="I462" s="75"/>
      <c r="J462" s="75"/>
      <c r="K462" s="74"/>
      <c r="L462" s="75"/>
      <c r="M462" s="99"/>
      <c r="S462" s="74"/>
    </row>
    <row r="463" spans="4:19" ht="26.1" customHeight="1" x14ac:dyDescent="0.25">
      <c r="D463" s="74"/>
      <c r="F463" s="19"/>
      <c r="H463" s="119"/>
      <c r="I463" s="75"/>
      <c r="J463" s="75"/>
      <c r="K463" s="74"/>
      <c r="L463" s="75"/>
      <c r="M463" s="99"/>
      <c r="S463" s="74"/>
    </row>
    <row r="464" spans="4:19" ht="26.1" customHeight="1" x14ac:dyDescent="0.25">
      <c r="D464" s="74"/>
      <c r="F464" s="19"/>
      <c r="H464" s="119"/>
      <c r="I464" s="75"/>
      <c r="J464" s="75"/>
      <c r="K464" s="74"/>
      <c r="L464" s="75"/>
      <c r="M464" s="99"/>
      <c r="S464" s="74"/>
    </row>
    <row r="465" spans="4:19" ht="26.1" customHeight="1" x14ac:dyDescent="0.25">
      <c r="D465" s="74"/>
      <c r="F465" s="19"/>
      <c r="H465" s="119"/>
      <c r="I465" s="75"/>
      <c r="J465" s="75"/>
      <c r="K465" s="74"/>
      <c r="L465" s="75"/>
      <c r="M465" s="99"/>
      <c r="S465" s="74"/>
    </row>
    <row r="466" spans="4:19" ht="26.1" customHeight="1" x14ac:dyDescent="0.25">
      <c r="D466" s="74"/>
      <c r="F466" s="19"/>
      <c r="H466" s="119"/>
      <c r="I466" s="75"/>
      <c r="J466" s="75"/>
      <c r="K466" s="74"/>
      <c r="L466" s="75"/>
      <c r="M466" s="99"/>
      <c r="S466" s="74"/>
    </row>
    <row r="467" spans="4:19" ht="26.1" customHeight="1" x14ac:dyDescent="0.25">
      <c r="D467" s="74"/>
      <c r="F467" s="19"/>
      <c r="H467" s="119"/>
      <c r="I467" s="75"/>
      <c r="J467" s="75"/>
      <c r="K467" s="74"/>
      <c r="L467" s="75"/>
      <c r="M467" s="99"/>
      <c r="S467" s="74"/>
    </row>
    <row r="468" spans="4:19" ht="26.1" customHeight="1" x14ac:dyDescent="0.25">
      <c r="D468" s="74"/>
      <c r="F468" s="19"/>
      <c r="H468" s="119"/>
      <c r="I468" s="75"/>
      <c r="J468" s="75"/>
      <c r="K468" s="74"/>
      <c r="L468" s="75"/>
      <c r="M468" s="99"/>
      <c r="S468" s="74"/>
    </row>
    <row r="469" spans="4:19" ht="26.1" customHeight="1" x14ac:dyDescent="0.25">
      <c r="D469" s="74"/>
      <c r="F469" s="19"/>
      <c r="H469" s="119"/>
      <c r="I469" s="75"/>
      <c r="J469" s="75"/>
      <c r="K469" s="74"/>
      <c r="L469" s="75"/>
      <c r="M469" s="99"/>
      <c r="S469" s="74"/>
    </row>
    <row r="470" spans="4:19" ht="26.1" customHeight="1" x14ac:dyDescent="0.25">
      <c r="D470" s="74"/>
      <c r="F470" s="19"/>
      <c r="H470" s="119"/>
      <c r="I470" s="75"/>
      <c r="J470" s="75"/>
      <c r="K470" s="74"/>
      <c r="L470" s="75"/>
      <c r="M470" s="99"/>
      <c r="S470" s="74"/>
    </row>
    <row r="471" spans="4:19" ht="26.1" customHeight="1" x14ac:dyDescent="0.25">
      <c r="D471" s="74"/>
      <c r="F471" s="19"/>
      <c r="H471" s="119"/>
      <c r="I471" s="75"/>
      <c r="J471" s="75"/>
      <c r="K471" s="74"/>
      <c r="L471" s="75"/>
      <c r="M471" s="99"/>
      <c r="S471" s="74"/>
    </row>
    <row r="472" spans="4:19" ht="26.1" customHeight="1" x14ac:dyDescent="0.25">
      <c r="D472" s="74"/>
      <c r="F472" s="19"/>
      <c r="H472" s="119"/>
      <c r="I472" s="75"/>
      <c r="J472" s="75"/>
      <c r="K472" s="74"/>
      <c r="L472" s="75"/>
      <c r="M472" s="99"/>
      <c r="S472" s="74"/>
    </row>
    <row r="473" spans="4:19" ht="26.1" customHeight="1" x14ac:dyDescent="0.25">
      <c r="D473" s="74"/>
      <c r="F473" s="19"/>
      <c r="H473" s="119"/>
      <c r="I473" s="75"/>
      <c r="J473" s="75"/>
      <c r="K473" s="74"/>
      <c r="L473" s="75"/>
      <c r="M473" s="99"/>
      <c r="S473" s="74"/>
    </row>
    <row r="474" spans="4:19" ht="26.1" customHeight="1" x14ac:dyDescent="0.25">
      <c r="D474" s="74"/>
      <c r="F474" s="19"/>
      <c r="H474" s="119"/>
      <c r="I474" s="75"/>
      <c r="J474" s="75"/>
      <c r="K474" s="74"/>
      <c r="L474" s="75"/>
      <c r="M474" s="99"/>
      <c r="S474" s="74"/>
    </row>
    <row r="475" spans="4:19" ht="26.1" customHeight="1" x14ac:dyDescent="0.25">
      <c r="D475" s="74"/>
      <c r="F475" s="19"/>
      <c r="H475" s="119"/>
      <c r="I475" s="75"/>
      <c r="J475" s="75"/>
      <c r="K475" s="74"/>
      <c r="L475" s="75"/>
      <c r="M475" s="99"/>
      <c r="S475" s="74"/>
    </row>
    <row r="476" spans="4:19" ht="26.1" customHeight="1" x14ac:dyDescent="0.25">
      <c r="D476" s="74"/>
      <c r="F476" s="19"/>
      <c r="H476" s="119"/>
      <c r="I476" s="75"/>
      <c r="J476" s="75"/>
      <c r="K476" s="74"/>
      <c r="L476" s="75"/>
      <c r="M476" s="99"/>
      <c r="S476" s="74"/>
    </row>
    <row r="477" spans="4:19" ht="26.1" customHeight="1" x14ac:dyDescent="0.25">
      <c r="D477" s="74"/>
      <c r="F477" s="19"/>
      <c r="H477" s="119"/>
      <c r="I477" s="75"/>
      <c r="J477" s="75"/>
      <c r="K477" s="74"/>
      <c r="L477" s="75"/>
      <c r="M477" s="99"/>
      <c r="S477" s="74"/>
    </row>
    <row r="478" spans="4:19" ht="26.1" customHeight="1" x14ac:dyDescent="0.25">
      <c r="D478" s="74"/>
      <c r="F478" s="19"/>
      <c r="H478" s="119"/>
      <c r="I478" s="75"/>
      <c r="J478" s="75"/>
      <c r="K478" s="74"/>
      <c r="L478" s="75"/>
      <c r="M478" s="99"/>
      <c r="S478" s="74"/>
    </row>
    <row r="479" spans="4:19" ht="26.1" customHeight="1" x14ac:dyDescent="0.25">
      <c r="D479" s="74"/>
      <c r="F479" s="19"/>
      <c r="H479" s="119"/>
      <c r="I479" s="75"/>
      <c r="J479" s="75"/>
      <c r="K479" s="74"/>
      <c r="L479" s="75"/>
      <c r="M479" s="99"/>
      <c r="S479" s="74"/>
    </row>
    <row r="480" spans="4:19" ht="26.1" customHeight="1" x14ac:dyDescent="0.25">
      <c r="D480" s="74"/>
      <c r="F480" s="19"/>
      <c r="H480" s="119"/>
      <c r="I480" s="75"/>
      <c r="J480" s="75"/>
      <c r="K480" s="74"/>
      <c r="L480" s="75"/>
      <c r="M480" s="99"/>
      <c r="S480" s="74"/>
    </row>
    <row r="481" spans="4:19" ht="26.1" customHeight="1" x14ac:dyDescent="0.25">
      <c r="D481" s="74"/>
      <c r="F481" s="19"/>
      <c r="H481" s="119"/>
      <c r="I481" s="75"/>
      <c r="J481" s="75"/>
      <c r="K481" s="74"/>
      <c r="L481" s="75"/>
      <c r="M481" s="99"/>
      <c r="S481" s="74"/>
    </row>
    <row r="482" spans="4:19" ht="26.1" customHeight="1" x14ac:dyDescent="0.25">
      <c r="D482" s="74"/>
      <c r="F482" s="19"/>
      <c r="H482" s="119"/>
      <c r="I482" s="75"/>
      <c r="J482" s="75"/>
      <c r="K482" s="74"/>
      <c r="L482" s="75"/>
      <c r="M482" s="99"/>
      <c r="S482" s="74"/>
    </row>
    <row r="483" spans="4:19" ht="26.1" customHeight="1" x14ac:dyDescent="0.25">
      <c r="D483" s="74"/>
      <c r="F483" s="19"/>
      <c r="H483" s="119"/>
      <c r="I483" s="75"/>
      <c r="J483" s="75"/>
      <c r="K483" s="74"/>
      <c r="L483" s="75"/>
      <c r="M483" s="99"/>
      <c r="S483" s="74"/>
    </row>
    <row r="484" spans="4:19" ht="26.1" customHeight="1" x14ac:dyDescent="0.25">
      <c r="D484" s="74"/>
      <c r="F484" s="19"/>
      <c r="H484" s="119"/>
      <c r="I484" s="75"/>
      <c r="J484" s="75"/>
      <c r="K484" s="74"/>
      <c r="L484" s="75"/>
      <c r="M484" s="99"/>
      <c r="S484" s="74"/>
    </row>
    <row r="485" spans="4:19" ht="26.1" customHeight="1" x14ac:dyDescent="0.25">
      <c r="D485" s="74"/>
      <c r="F485" s="19"/>
      <c r="H485" s="119"/>
      <c r="I485" s="75"/>
      <c r="J485" s="75"/>
      <c r="K485" s="74"/>
      <c r="L485" s="75"/>
      <c r="M485" s="99"/>
      <c r="S485" s="74"/>
    </row>
    <row r="486" spans="4:19" ht="26.1" customHeight="1" x14ac:dyDescent="0.25">
      <c r="D486" s="74"/>
      <c r="F486" s="19"/>
      <c r="H486" s="119"/>
      <c r="I486" s="75"/>
      <c r="J486" s="75"/>
      <c r="K486" s="74"/>
      <c r="L486" s="75"/>
      <c r="M486" s="99"/>
      <c r="S486" s="74"/>
    </row>
    <row r="487" spans="4:19" ht="26.1" customHeight="1" x14ac:dyDescent="0.25">
      <c r="D487" s="74"/>
      <c r="F487" s="19"/>
      <c r="H487" s="119"/>
      <c r="I487" s="75"/>
      <c r="J487" s="75"/>
      <c r="K487" s="74"/>
      <c r="L487" s="75"/>
      <c r="M487" s="99"/>
      <c r="S487" s="74"/>
    </row>
    <row r="488" spans="4:19" ht="26.1" customHeight="1" x14ac:dyDescent="0.25">
      <c r="D488" s="74"/>
      <c r="F488" s="19"/>
      <c r="H488" s="119"/>
      <c r="I488" s="75"/>
      <c r="J488" s="75"/>
      <c r="K488" s="74"/>
      <c r="L488" s="75"/>
      <c r="M488" s="99"/>
      <c r="S488" s="74"/>
    </row>
    <row r="489" spans="4:19" ht="26.1" customHeight="1" x14ac:dyDescent="0.25">
      <c r="D489" s="74"/>
      <c r="F489" s="19"/>
      <c r="H489" s="119"/>
      <c r="I489" s="75"/>
      <c r="J489" s="75"/>
      <c r="K489" s="74"/>
      <c r="L489" s="75"/>
      <c r="M489" s="99"/>
      <c r="S489" s="74"/>
    </row>
    <row r="490" spans="4:19" ht="26.1" customHeight="1" x14ac:dyDescent="0.25">
      <c r="D490" s="74"/>
      <c r="F490" s="19"/>
      <c r="H490" s="119"/>
      <c r="I490" s="75"/>
      <c r="J490" s="75"/>
      <c r="K490" s="74"/>
      <c r="L490" s="75"/>
      <c r="M490" s="99"/>
      <c r="S490" s="74"/>
    </row>
    <row r="491" spans="4:19" ht="26.1" customHeight="1" x14ac:dyDescent="0.25">
      <c r="D491" s="74"/>
      <c r="F491" s="19"/>
      <c r="H491" s="119"/>
      <c r="I491" s="75"/>
      <c r="J491" s="75"/>
      <c r="K491" s="74"/>
      <c r="L491" s="75"/>
      <c r="M491" s="99"/>
      <c r="S491" s="74"/>
    </row>
    <row r="492" spans="4:19" ht="26.1" customHeight="1" x14ac:dyDescent="0.25">
      <c r="D492" s="74"/>
      <c r="F492" s="19"/>
      <c r="H492" s="119"/>
      <c r="I492" s="75"/>
      <c r="J492" s="75"/>
      <c r="K492" s="74"/>
      <c r="L492" s="75"/>
      <c r="M492" s="99"/>
      <c r="S492" s="74"/>
    </row>
    <row r="493" spans="4:19" ht="26.1" customHeight="1" x14ac:dyDescent="0.25">
      <c r="D493" s="74"/>
      <c r="F493" s="19"/>
      <c r="H493" s="119"/>
      <c r="I493" s="75"/>
      <c r="J493" s="75"/>
      <c r="K493" s="74"/>
      <c r="L493" s="75"/>
      <c r="M493" s="99"/>
      <c r="S493" s="74"/>
    </row>
    <row r="494" spans="4:19" ht="26.1" customHeight="1" x14ac:dyDescent="0.25">
      <c r="D494" s="74"/>
      <c r="F494" s="19"/>
      <c r="H494" s="119"/>
      <c r="I494" s="75"/>
      <c r="J494" s="75"/>
      <c r="K494" s="74"/>
      <c r="L494" s="75"/>
      <c r="M494" s="99"/>
      <c r="S494" s="74"/>
    </row>
    <row r="495" spans="4:19" ht="26.1" customHeight="1" x14ac:dyDescent="0.25">
      <c r="D495" s="74"/>
      <c r="F495" s="19"/>
      <c r="H495" s="119"/>
      <c r="I495" s="75"/>
      <c r="J495" s="75"/>
      <c r="K495" s="74"/>
      <c r="L495" s="75"/>
      <c r="M495" s="99"/>
      <c r="S495" s="74"/>
    </row>
    <row r="496" spans="4:19" ht="26.1" customHeight="1" x14ac:dyDescent="0.25">
      <c r="D496" s="74"/>
      <c r="F496" s="19"/>
      <c r="H496" s="119"/>
      <c r="I496" s="75"/>
      <c r="J496" s="75"/>
      <c r="K496" s="74"/>
      <c r="L496" s="75"/>
      <c r="M496" s="99"/>
      <c r="S496" s="74"/>
    </row>
    <row r="497" spans="4:19" ht="26.1" customHeight="1" x14ac:dyDescent="0.25">
      <c r="D497" s="74"/>
      <c r="F497" s="19"/>
      <c r="H497" s="119"/>
      <c r="I497" s="75"/>
      <c r="J497" s="75"/>
      <c r="K497" s="74"/>
      <c r="L497" s="75"/>
      <c r="M497" s="99"/>
      <c r="S497" s="74"/>
    </row>
    <row r="498" spans="4:19" ht="26.1" customHeight="1" x14ac:dyDescent="0.25">
      <c r="D498" s="74"/>
      <c r="F498" s="19"/>
      <c r="H498" s="119"/>
      <c r="I498" s="75"/>
      <c r="J498" s="75"/>
      <c r="K498" s="74"/>
      <c r="L498" s="75"/>
      <c r="M498" s="99"/>
      <c r="S498" s="74"/>
    </row>
    <row r="499" spans="4:19" ht="26.1" customHeight="1" x14ac:dyDescent="0.25">
      <c r="D499" s="74"/>
      <c r="F499" s="19"/>
      <c r="H499" s="119"/>
      <c r="I499" s="75"/>
      <c r="J499" s="75"/>
      <c r="K499" s="74"/>
      <c r="L499" s="75"/>
      <c r="M499" s="99"/>
      <c r="S499" s="74"/>
    </row>
    <row r="500" spans="4:19" ht="26.1" customHeight="1" x14ac:dyDescent="0.25">
      <c r="D500" s="74"/>
      <c r="F500" s="19"/>
      <c r="H500" s="119"/>
      <c r="I500" s="75"/>
      <c r="J500" s="75"/>
      <c r="K500" s="74"/>
      <c r="L500" s="75"/>
      <c r="M500" s="99"/>
      <c r="S500" s="74"/>
    </row>
    <row r="501" spans="4:19" ht="26.1" customHeight="1" x14ac:dyDescent="0.25">
      <c r="D501" s="74"/>
      <c r="F501" s="19"/>
      <c r="H501" s="119"/>
      <c r="I501" s="75"/>
      <c r="J501" s="75"/>
      <c r="K501" s="74"/>
      <c r="L501" s="75"/>
      <c r="M501" s="99"/>
      <c r="S501" s="74"/>
    </row>
    <row r="502" spans="4:19" ht="26.1" customHeight="1" x14ac:dyDescent="0.25">
      <c r="D502" s="74"/>
      <c r="F502" s="19"/>
      <c r="H502" s="119"/>
      <c r="I502" s="75"/>
      <c r="J502" s="75"/>
      <c r="K502" s="74"/>
      <c r="L502" s="75"/>
      <c r="M502" s="99"/>
      <c r="S502" s="74"/>
    </row>
    <row r="503" spans="4:19" ht="26.1" customHeight="1" x14ac:dyDescent="0.25">
      <c r="D503" s="74"/>
      <c r="F503" s="19"/>
      <c r="H503" s="119"/>
      <c r="I503" s="75"/>
      <c r="J503" s="75"/>
      <c r="K503" s="74"/>
      <c r="L503" s="75"/>
      <c r="M503" s="99"/>
      <c r="S503" s="74"/>
    </row>
    <row r="504" spans="4:19" ht="26.1" customHeight="1" x14ac:dyDescent="0.25">
      <c r="D504" s="74"/>
      <c r="F504" s="19"/>
      <c r="H504" s="119"/>
      <c r="I504" s="75"/>
      <c r="J504" s="75"/>
      <c r="K504" s="74"/>
      <c r="L504" s="75"/>
      <c r="M504" s="99"/>
      <c r="S504" s="74"/>
    </row>
    <row r="505" spans="4:19" ht="26.1" customHeight="1" x14ac:dyDescent="0.25">
      <c r="D505" s="74"/>
      <c r="F505" s="19"/>
      <c r="H505" s="119"/>
      <c r="I505" s="75"/>
      <c r="J505" s="75"/>
      <c r="K505" s="74"/>
      <c r="L505" s="75"/>
      <c r="M505" s="99"/>
      <c r="S505" s="74"/>
    </row>
    <row r="506" spans="4:19" ht="26.1" customHeight="1" x14ac:dyDescent="0.25">
      <c r="D506" s="74"/>
      <c r="F506" s="19"/>
      <c r="H506" s="119"/>
      <c r="I506" s="75"/>
      <c r="J506" s="75"/>
      <c r="K506" s="74"/>
      <c r="L506" s="75"/>
      <c r="M506" s="99"/>
      <c r="S506" s="74"/>
    </row>
    <row r="507" spans="4:19" ht="26.1" customHeight="1" x14ac:dyDescent="0.25">
      <c r="D507" s="74"/>
      <c r="F507" s="19"/>
      <c r="H507" s="119"/>
      <c r="I507" s="75"/>
      <c r="J507" s="75"/>
      <c r="K507" s="74"/>
      <c r="L507" s="75"/>
      <c r="M507" s="99"/>
      <c r="S507" s="74"/>
    </row>
    <row r="508" spans="4:19" ht="26.1" customHeight="1" x14ac:dyDescent="0.25">
      <c r="D508" s="74"/>
      <c r="F508" s="19"/>
      <c r="H508" s="119"/>
      <c r="I508" s="75"/>
      <c r="J508" s="75"/>
      <c r="K508" s="74"/>
      <c r="L508" s="75"/>
      <c r="M508" s="99"/>
      <c r="S508" s="74"/>
    </row>
    <row r="509" spans="4:19" ht="26.1" customHeight="1" x14ac:dyDescent="0.25">
      <c r="D509" s="74"/>
      <c r="F509" s="19"/>
      <c r="H509" s="119"/>
      <c r="I509" s="75"/>
      <c r="J509" s="75"/>
      <c r="K509" s="74"/>
      <c r="L509" s="75"/>
      <c r="M509" s="99"/>
      <c r="S509" s="74"/>
    </row>
    <row r="510" spans="4:19" ht="26.1" customHeight="1" x14ac:dyDescent="0.25">
      <c r="D510" s="74"/>
      <c r="F510" s="19"/>
      <c r="H510" s="119"/>
      <c r="I510" s="75"/>
      <c r="J510" s="75"/>
      <c r="K510" s="74"/>
      <c r="L510" s="75"/>
      <c r="M510" s="99"/>
      <c r="S510" s="74"/>
    </row>
    <row r="511" spans="4:19" ht="26.1" customHeight="1" x14ac:dyDescent="0.25">
      <c r="D511" s="74"/>
      <c r="F511" s="19"/>
      <c r="H511" s="119"/>
      <c r="I511" s="75"/>
      <c r="J511" s="75"/>
      <c r="K511" s="74"/>
      <c r="L511" s="75"/>
      <c r="M511" s="99"/>
      <c r="S511" s="74"/>
    </row>
    <row r="512" spans="4:19" ht="26.1" customHeight="1" x14ac:dyDescent="0.25">
      <c r="D512" s="74"/>
      <c r="F512" s="19"/>
      <c r="H512" s="119"/>
      <c r="I512" s="75"/>
      <c r="J512" s="75"/>
      <c r="K512" s="74"/>
      <c r="L512" s="75"/>
      <c r="M512" s="99"/>
      <c r="S512" s="74"/>
    </row>
    <row r="513" spans="4:19" ht="26.1" customHeight="1" x14ac:dyDescent="0.25">
      <c r="D513" s="74"/>
      <c r="F513" s="19"/>
      <c r="H513" s="119"/>
      <c r="I513" s="75"/>
      <c r="J513" s="75"/>
      <c r="K513" s="74"/>
      <c r="L513" s="75"/>
      <c r="M513" s="99"/>
      <c r="S513" s="74"/>
    </row>
    <row r="514" spans="4:19" ht="26.1" customHeight="1" x14ac:dyDescent="0.25">
      <c r="D514" s="74"/>
      <c r="F514" s="19"/>
      <c r="H514" s="119"/>
      <c r="I514" s="75"/>
      <c r="J514" s="75"/>
      <c r="K514" s="74"/>
      <c r="L514" s="75"/>
      <c r="M514" s="99"/>
      <c r="S514" s="74"/>
    </row>
    <row r="515" spans="4:19" ht="26.1" customHeight="1" x14ac:dyDescent="0.25">
      <c r="D515" s="74"/>
      <c r="F515" s="19"/>
      <c r="H515" s="119"/>
      <c r="I515" s="75"/>
      <c r="J515" s="75"/>
      <c r="K515" s="74"/>
      <c r="L515" s="75"/>
      <c r="M515" s="99"/>
      <c r="S515" s="74"/>
    </row>
    <row r="516" spans="4:19" ht="26.1" customHeight="1" x14ac:dyDescent="0.25">
      <c r="D516" s="74"/>
      <c r="F516" s="19"/>
      <c r="H516" s="119"/>
      <c r="I516" s="75"/>
      <c r="J516" s="75"/>
      <c r="K516" s="74"/>
      <c r="L516" s="75"/>
      <c r="M516" s="99"/>
      <c r="S516" s="74"/>
    </row>
    <row r="517" spans="4:19" ht="26.1" customHeight="1" x14ac:dyDescent="0.25">
      <c r="D517" s="74"/>
      <c r="F517" s="19"/>
      <c r="H517" s="119"/>
      <c r="I517" s="75"/>
      <c r="J517" s="75"/>
      <c r="K517" s="74"/>
      <c r="L517" s="75"/>
      <c r="M517" s="99"/>
      <c r="S517" s="74"/>
    </row>
    <row r="518" spans="4:19" ht="26.1" customHeight="1" x14ac:dyDescent="0.25">
      <c r="D518" s="74"/>
      <c r="F518" s="19"/>
      <c r="H518" s="119"/>
      <c r="I518" s="75"/>
      <c r="J518" s="75"/>
      <c r="K518" s="74"/>
      <c r="L518" s="75"/>
      <c r="M518" s="99"/>
      <c r="S518" s="74"/>
    </row>
    <row r="519" spans="4:19" ht="26.1" customHeight="1" x14ac:dyDescent="0.25">
      <c r="D519" s="74"/>
      <c r="F519" s="19"/>
      <c r="H519" s="119"/>
      <c r="I519" s="75"/>
      <c r="J519" s="75"/>
      <c r="K519" s="74"/>
      <c r="L519" s="75"/>
      <c r="M519" s="99"/>
      <c r="S519" s="74"/>
    </row>
    <row r="520" spans="4:19" ht="26.1" customHeight="1" x14ac:dyDescent="0.25">
      <c r="D520" s="74"/>
      <c r="F520" s="19"/>
      <c r="H520" s="119"/>
      <c r="I520" s="75"/>
      <c r="J520" s="75"/>
      <c r="K520" s="74"/>
      <c r="L520" s="75"/>
      <c r="M520" s="99"/>
      <c r="S520" s="74"/>
    </row>
    <row r="521" spans="4:19" ht="26.1" customHeight="1" x14ac:dyDescent="0.25">
      <c r="D521" s="74"/>
      <c r="F521" s="19"/>
      <c r="H521" s="119"/>
      <c r="I521" s="75"/>
      <c r="J521" s="75"/>
      <c r="K521" s="74"/>
      <c r="L521" s="75"/>
      <c r="M521" s="99"/>
      <c r="S521" s="74"/>
    </row>
    <row r="522" spans="4:19" ht="26.1" customHeight="1" x14ac:dyDescent="0.25">
      <c r="D522" s="74"/>
      <c r="F522" s="19"/>
      <c r="H522" s="119"/>
      <c r="I522" s="75"/>
      <c r="J522" s="75"/>
      <c r="K522" s="74"/>
      <c r="L522" s="75"/>
      <c r="M522" s="99"/>
      <c r="S522" s="74"/>
    </row>
    <row r="523" spans="4:19" ht="26.1" customHeight="1" x14ac:dyDescent="0.25">
      <c r="D523" s="74"/>
      <c r="F523" s="19"/>
      <c r="H523" s="119"/>
      <c r="I523" s="75"/>
      <c r="J523" s="75"/>
      <c r="K523" s="74"/>
      <c r="L523" s="75"/>
      <c r="M523" s="99"/>
      <c r="S523" s="74"/>
    </row>
    <row r="524" spans="4:19" ht="26.1" customHeight="1" x14ac:dyDescent="0.25">
      <c r="D524" s="74"/>
      <c r="F524" s="19"/>
      <c r="H524" s="119"/>
      <c r="I524" s="75"/>
      <c r="J524" s="75"/>
      <c r="K524" s="74"/>
      <c r="L524" s="75"/>
      <c r="M524" s="99"/>
      <c r="S524" s="74"/>
    </row>
    <row r="525" spans="4:19" ht="26.1" customHeight="1" x14ac:dyDescent="0.25">
      <c r="D525" s="74"/>
      <c r="F525" s="19"/>
      <c r="H525" s="119"/>
      <c r="I525" s="75"/>
      <c r="J525" s="75"/>
      <c r="K525" s="74"/>
      <c r="L525" s="75"/>
      <c r="M525" s="99"/>
      <c r="S525" s="74"/>
    </row>
    <row r="526" spans="4:19" ht="26.1" customHeight="1" x14ac:dyDescent="0.25">
      <c r="D526" s="74"/>
      <c r="F526" s="19"/>
      <c r="H526" s="119"/>
      <c r="I526" s="75"/>
      <c r="J526" s="75"/>
      <c r="K526" s="74"/>
      <c r="L526" s="75"/>
      <c r="M526" s="99"/>
      <c r="S526" s="74"/>
    </row>
    <row r="527" spans="4:19" ht="26.1" customHeight="1" x14ac:dyDescent="0.25">
      <c r="D527" s="74"/>
      <c r="F527" s="19"/>
      <c r="H527" s="119"/>
      <c r="I527" s="75"/>
      <c r="J527" s="75"/>
      <c r="K527" s="74"/>
      <c r="L527" s="75"/>
      <c r="M527" s="99"/>
      <c r="S527" s="74"/>
    </row>
    <row r="528" spans="4:19" ht="26.1" customHeight="1" x14ac:dyDescent="0.25">
      <c r="D528" s="74"/>
      <c r="F528" s="19"/>
      <c r="H528" s="119"/>
      <c r="I528" s="75"/>
      <c r="J528" s="75"/>
      <c r="K528" s="74"/>
      <c r="L528" s="75"/>
      <c r="M528" s="99"/>
      <c r="S528" s="74"/>
    </row>
    <row r="529" spans="4:19" ht="26.1" customHeight="1" x14ac:dyDescent="0.25">
      <c r="D529" s="74"/>
      <c r="F529" s="19"/>
      <c r="H529" s="119"/>
      <c r="I529" s="75"/>
      <c r="J529" s="75"/>
      <c r="K529" s="74"/>
      <c r="L529" s="75"/>
      <c r="M529" s="99"/>
      <c r="S529" s="74"/>
    </row>
    <row r="530" spans="4:19" ht="26.1" customHeight="1" x14ac:dyDescent="0.25">
      <c r="D530" s="74"/>
      <c r="F530" s="19"/>
      <c r="H530" s="119"/>
      <c r="I530" s="75"/>
      <c r="J530" s="75"/>
      <c r="K530" s="74"/>
      <c r="L530" s="75"/>
      <c r="M530" s="99"/>
      <c r="S530" s="74"/>
    </row>
    <row r="531" spans="4:19" ht="26.1" customHeight="1" x14ac:dyDescent="0.25">
      <c r="D531" s="74"/>
      <c r="F531" s="19"/>
      <c r="H531" s="119"/>
      <c r="I531" s="75"/>
      <c r="J531" s="75"/>
      <c r="K531" s="74"/>
      <c r="L531" s="75"/>
      <c r="M531" s="99"/>
      <c r="S531" s="74"/>
    </row>
    <row r="532" spans="4:19" ht="26.1" customHeight="1" x14ac:dyDescent="0.25">
      <c r="D532" s="74"/>
      <c r="F532" s="19"/>
      <c r="H532" s="119"/>
      <c r="I532" s="75"/>
      <c r="J532" s="75"/>
      <c r="K532" s="74"/>
      <c r="L532" s="75"/>
      <c r="M532" s="99"/>
      <c r="S532" s="74"/>
    </row>
    <row r="533" spans="4:19" ht="26.1" customHeight="1" x14ac:dyDescent="0.25">
      <c r="D533" s="74"/>
      <c r="F533" s="19"/>
      <c r="H533" s="119"/>
      <c r="I533" s="75"/>
      <c r="J533" s="75"/>
      <c r="K533" s="74"/>
      <c r="L533" s="75"/>
      <c r="M533" s="99"/>
      <c r="S533" s="74"/>
    </row>
    <row r="534" spans="4:19" ht="26.1" customHeight="1" x14ac:dyDescent="0.25">
      <c r="D534" s="74"/>
      <c r="F534" s="19"/>
      <c r="H534" s="119"/>
      <c r="I534" s="75"/>
      <c r="J534" s="75"/>
      <c r="K534" s="74"/>
      <c r="L534" s="75"/>
      <c r="M534" s="99"/>
      <c r="S534" s="74"/>
    </row>
    <row r="535" spans="4:19" ht="26.1" customHeight="1" x14ac:dyDescent="0.25">
      <c r="D535" s="74"/>
      <c r="F535" s="19"/>
      <c r="H535" s="119"/>
      <c r="I535" s="75"/>
      <c r="J535" s="75"/>
      <c r="K535" s="74"/>
      <c r="L535" s="75"/>
      <c r="M535" s="99"/>
      <c r="S535" s="74"/>
    </row>
    <row r="536" spans="4:19" ht="26.1" customHeight="1" x14ac:dyDescent="0.25">
      <c r="D536" s="74"/>
      <c r="F536" s="19"/>
      <c r="H536" s="119"/>
      <c r="I536" s="75"/>
      <c r="J536" s="75"/>
      <c r="K536" s="74"/>
      <c r="L536" s="75"/>
      <c r="M536" s="99"/>
      <c r="S536" s="74"/>
    </row>
    <row r="537" spans="4:19" ht="26.1" customHeight="1" x14ac:dyDescent="0.25">
      <c r="D537" s="74"/>
      <c r="F537" s="19"/>
      <c r="H537" s="119"/>
      <c r="I537" s="75"/>
      <c r="J537" s="75"/>
      <c r="K537" s="74"/>
      <c r="L537" s="75"/>
      <c r="M537" s="99"/>
      <c r="S537" s="74"/>
    </row>
    <row r="538" spans="4:19" ht="26.1" customHeight="1" x14ac:dyDescent="0.25">
      <c r="D538" s="74"/>
      <c r="F538" s="19"/>
      <c r="H538" s="119"/>
      <c r="I538" s="75"/>
      <c r="J538" s="75"/>
      <c r="K538" s="74"/>
      <c r="L538" s="75"/>
      <c r="M538" s="99"/>
      <c r="S538" s="74"/>
    </row>
    <row r="539" spans="4:19" ht="26.1" customHeight="1" x14ac:dyDescent="0.25">
      <c r="D539" s="74"/>
      <c r="F539" s="19"/>
      <c r="H539" s="119"/>
      <c r="I539" s="75"/>
      <c r="J539" s="75"/>
      <c r="K539" s="74"/>
      <c r="L539" s="75"/>
      <c r="M539" s="99"/>
      <c r="S539" s="74"/>
    </row>
    <row r="540" spans="4:19" ht="26.1" customHeight="1" x14ac:dyDescent="0.25">
      <c r="D540" s="74"/>
      <c r="F540" s="19"/>
      <c r="H540" s="119"/>
      <c r="I540" s="75"/>
      <c r="J540" s="75"/>
      <c r="K540" s="74"/>
      <c r="L540" s="75"/>
      <c r="M540" s="99"/>
      <c r="S540" s="74"/>
    </row>
    <row r="541" spans="4:19" ht="26.1" customHeight="1" x14ac:dyDescent="0.25">
      <c r="D541" s="74"/>
      <c r="F541" s="19"/>
      <c r="H541" s="119"/>
      <c r="I541" s="75"/>
      <c r="J541" s="75"/>
      <c r="K541" s="74"/>
      <c r="L541" s="75"/>
      <c r="M541" s="99"/>
      <c r="S541" s="74"/>
    </row>
    <row r="542" spans="4:19" ht="26.1" customHeight="1" x14ac:dyDescent="0.25">
      <c r="D542" s="74"/>
      <c r="F542" s="19"/>
      <c r="H542" s="119"/>
      <c r="I542" s="75"/>
      <c r="J542" s="75"/>
      <c r="K542" s="74"/>
      <c r="L542" s="75"/>
      <c r="M542" s="99"/>
      <c r="S542" s="74"/>
    </row>
    <row r="543" spans="4:19" ht="26.1" customHeight="1" x14ac:dyDescent="0.25">
      <c r="D543" s="74"/>
      <c r="F543" s="19"/>
      <c r="H543" s="119"/>
      <c r="I543" s="75"/>
      <c r="J543" s="75"/>
      <c r="K543" s="74"/>
      <c r="L543" s="75"/>
      <c r="M543" s="99"/>
      <c r="S543" s="74"/>
    </row>
    <row r="544" spans="4:19" ht="26.1" customHeight="1" x14ac:dyDescent="0.25">
      <c r="D544" s="74"/>
      <c r="F544" s="19"/>
      <c r="H544" s="119"/>
      <c r="I544" s="75"/>
      <c r="J544" s="75"/>
      <c r="K544" s="74"/>
      <c r="L544" s="75"/>
      <c r="M544" s="99"/>
      <c r="S544" s="74"/>
    </row>
    <row r="545" spans="4:19" ht="26.1" customHeight="1" x14ac:dyDescent="0.25">
      <c r="D545" s="74"/>
      <c r="F545" s="19"/>
      <c r="H545" s="119"/>
      <c r="I545" s="75"/>
      <c r="J545" s="75"/>
      <c r="K545" s="74"/>
      <c r="L545" s="75"/>
      <c r="M545" s="99"/>
      <c r="S545" s="74"/>
    </row>
    <row r="546" spans="4:19" ht="26.1" customHeight="1" x14ac:dyDescent="0.25">
      <c r="D546" s="74"/>
      <c r="F546" s="19"/>
      <c r="H546" s="119"/>
      <c r="I546" s="75"/>
      <c r="J546" s="75"/>
      <c r="K546" s="74"/>
      <c r="L546" s="75"/>
      <c r="M546" s="99"/>
      <c r="S546" s="74"/>
    </row>
    <row r="547" spans="4:19" ht="26.1" customHeight="1" x14ac:dyDescent="0.25">
      <c r="D547" s="74"/>
      <c r="F547" s="19"/>
      <c r="H547" s="119"/>
      <c r="I547" s="75"/>
      <c r="J547" s="75"/>
      <c r="K547" s="74"/>
      <c r="L547" s="75"/>
      <c r="M547" s="99"/>
      <c r="S547" s="74"/>
    </row>
    <row r="548" spans="4:19" ht="26.1" customHeight="1" x14ac:dyDescent="0.25">
      <c r="D548" s="74"/>
      <c r="F548" s="19"/>
      <c r="H548" s="119"/>
      <c r="I548" s="75"/>
      <c r="J548" s="75"/>
      <c r="K548" s="74"/>
      <c r="L548" s="75"/>
      <c r="M548" s="99"/>
      <c r="S548" s="74"/>
    </row>
    <row r="549" spans="4:19" ht="26.1" customHeight="1" x14ac:dyDescent="0.25">
      <c r="D549" s="74"/>
      <c r="F549" s="19"/>
      <c r="H549" s="119"/>
      <c r="I549" s="75"/>
      <c r="J549" s="75"/>
      <c r="K549" s="74"/>
      <c r="L549" s="75"/>
      <c r="M549" s="99"/>
      <c r="S549" s="74"/>
    </row>
    <row r="550" spans="4:19" ht="26.1" customHeight="1" x14ac:dyDescent="0.25">
      <c r="D550" s="74"/>
      <c r="F550" s="19"/>
      <c r="H550" s="119"/>
      <c r="I550" s="75"/>
      <c r="J550" s="75"/>
      <c r="K550" s="74"/>
      <c r="L550" s="75"/>
      <c r="M550" s="99"/>
      <c r="S550" s="74"/>
    </row>
    <row r="551" spans="4:19" ht="26.1" customHeight="1" x14ac:dyDescent="0.25">
      <c r="D551" s="74"/>
      <c r="F551" s="19"/>
      <c r="H551" s="119"/>
      <c r="I551" s="75"/>
      <c r="J551" s="75"/>
      <c r="K551" s="74"/>
      <c r="L551" s="75"/>
      <c r="M551" s="99"/>
      <c r="S551" s="74"/>
    </row>
    <row r="552" spans="4:19" ht="26.1" customHeight="1" x14ac:dyDescent="0.25">
      <c r="D552" s="74"/>
      <c r="F552" s="19"/>
      <c r="H552" s="119"/>
      <c r="I552" s="75"/>
      <c r="J552" s="75"/>
      <c r="K552" s="74"/>
      <c r="L552" s="75"/>
      <c r="M552" s="99"/>
      <c r="S552" s="74"/>
    </row>
    <row r="553" spans="4:19" ht="26.1" customHeight="1" x14ac:dyDescent="0.25">
      <c r="D553" s="74"/>
      <c r="F553" s="19"/>
      <c r="H553" s="119"/>
      <c r="I553" s="75"/>
      <c r="J553" s="75"/>
      <c r="K553" s="74"/>
      <c r="L553" s="75"/>
      <c r="M553" s="99"/>
      <c r="S553" s="74"/>
    </row>
    <row r="554" spans="4:19" ht="26.1" customHeight="1" x14ac:dyDescent="0.25">
      <c r="D554" s="74"/>
      <c r="F554" s="19"/>
      <c r="H554" s="119"/>
      <c r="I554" s="75"/>
      <c r="J554" s="75"/>
      <c r="K554" s="74"/>
      <c r="L554" s="75"/>
      <c r="M554" s="99"/>
      <c r="S554" s="74"/>
    </row>
    <row r="555" spans="4:19" ht="26.1" customHeight="1" x14ac:dyDescent="0.25">
      <c r="D555" s="74"/>
      <c r="F555" s="19"/>
      <c r="H555" s="119"/>
      <c r="I555" s="75"/>
      <c r="J555" s="75"/>
      <c r="K555" s="74"/>
      <c r="L555" s="75"/>
      <c r="M555" s="99"/>
      <c r="S555" s="74"/>
    </row>
    <row r="556" spans="4:19" ht="26.1" customHeight="1" x14ac:dyDescent="0.25">
      <c r="D556" s="74"/>
      <c r="F556" s="19"/>
      <c r="H556" s="119"/>
      <c r="I556" s="75"/>
      <c r="J556" s="75"/>
      <c r="K556" s="74"/>
      <c r="L556" s="75"/>
      <c r="M556" s="99"/>
      <c r="S556" s="74"/>
    </row>
    <row r="557" spans="4:19" ht="26.1" customHeight="1" x14ac:dyDescent="0.25">
      <c r="D557" s="74"/>
      <c r="F557" s="19"/>
      <c r="H557" s="119"/>
      <c r="I557" s="75"/>
      <c r="J557" s="75"/>
      <c r="K557" s="74"/>
      <c r="L557" s="75"/>
      <c r="M557" s="99"/>
      <c r="S557" s="74"/>
    </row>
    <row r="558" spans="4:19" ht="26.1" customHeight="1" x14ac:dyDescent="0.25">
      <c r="D558" s="74"/>
      <c r="F558" s="19"/>
      <c r="H558" s="119"/>
      <c r="I558" s="75"/>
      <c r="J558" s="75"/>
      <c r="K558" s="74"/>
      <c r="L558" s="75"/>
      <c r="M558" s="99"/>
      <c r="S558" s="74"/>
    </row>
    <row r="559" spans="4:19" ht="26.1" customHeight="1" x14ac:dyDescent="0.25">
      <c r="D559" s="74"/>
      <c r="F559" s="19"/>
      <c r="H559" s="119"/>
      <c r="I559" s="75"/>
      <c r="J559" s="75"/>
      <c r="K559" s="74"/>
      <c r="L559" s="75"/>
      <c r="M559" s="99"/>
      <c r="S559" s="74"/>
    </row>
    <row r="560" spans="4:19" ht="26.1" customHeight="1" x14ac:dyDescent="0.25">
      <c r="D560" s="74"/>
      <c r="F560" s="19"/>
      <c r="H560" s="119"/>
      <c r="I560" s="75"/>
      <c r="J560" s="75"/>
      <c r="K560" s="74"/>
      <c r="L560" s="75"/>
      <c r="M560" s="99"/>
      <c r="S560" s="74"/>
    </row>
    <row r="561" spans="4:19" ht="26.1" customHeight="1" x14ac:dyDescent="0.25">
      <c r="D561" s="74"/>
      <c r="F561" s="19"/>
      <c r="H561" s="119"/>
      <c r="I561" s="75"/>
      <c r="J561" s="75"/>
      <c r="K561" s="74"/>
      <c r="L561" s="75"/>
      <c r="M561" s="99"/>
      <c r="S561" s="74"/>
    </row>
    <row r="562" spans="4:19" ht="26.1" customHeight="1" x14ac:dyDescent="0.25">
      <c r="D562" s="74"/>
      <c r="F562" s="19"/>
      <c r="H562" s="119"/>
      <c r="I562" s="75"/>
      <c r="J562" s="75"/>
      <c r="K562" s="74"/>
      <c r="L562" s="75"/>
      <c r="M562" s="99"/>
      <c r="S562" s="74"/>
    </row>
    <row r="563" spans="4:19" ht="26.1" customHeight="1" x14ac:dyDescent="0.25">
      <c r="D563" s="74"/>
      <c r="F563" s="19"/>
      <c r="H563" s="119"/>
      <c r="I563" s="75"/>
      <c r="J563" s="75"/>
      <c r="K563" s="74"/>
      <c r="L563" s="75"/>
      <c r="M563" s="99"/>
      <c r="S563" s="74"/>
    </row>
    <row r="564" spans="4:19" ht="26.1" customHeight="1" x14ac:dyDescent="0.25">
      <c r="D564" s="74"/>
      <c r="F564" s="19"/>
      <c r="H564" s="119"/>
      <c r="I564" s="75"/>
      <c r="J564" s="75"/>
      <c r="K564" s="74"/>
      <c r="L564" s="75"/>
      <c r="M564" s="99"/>
      <c r="S564" s="74"/>
    </row>
    <row r="565" spans="4:19" ht="26.1" customHeight="1" x14ac:dyDescent="0.25">
      <c r="D565" s="74"/>
      <c r="F565" s="19"/>
      <c r="H565" s="119"/>
      <c r="I565" s="75"/>
      <c r="J565" s="75"/>
      <c r="K565" s="74"/>
      <c r="L565" s="75"/>
      <c r="M565" s="99"/>
      <c r="S565" s="74"/>
    </row>
    <row r="566" spans="4:19" ht="26.1" customHeight="1" x14ac:dyDescent="0.25">
      <c r="D566" s="74"/>
      <c r="F566" s="19"/>
      <c r="H566" s="119"/>
      <c r="I566" s="75"/>
      <c r="J566" s="75"/>
      <c r="K566" s="74"/>
      <c r="L566" s="75"/>
      <c r="M566" s="99"/>
      <c r="S566" s="74"/>
    </row>
    <row r="567" spans="4:19" ht="26.1" customHeight="1" x14ac:dyDescent="0.25">
      <c r="D567" s="74"/>
      <c r="F567" s="19"/>
      <c r="H567" s="119"/>
      <c r="I567" s="75"/>
      <c r="J567" s="75"/>
      <c r="K567" s="74"/>
      <c r="L567" s="75"/>
      <c r="M567" s="99"/>
      <c r="S567" s="74"/>
    </row>
    <row r="568" spans="4:19" ht="26.1" customHeight="1" x14ac:dyDescent="0.25">
      <c r="D568" s="74"/>
      <c r="F568" s="19"/>
      <c r="H568" s="119"/>
      <c r="I568" s="75"/>
      <c r="J568" s="75"/>
      <c r="K568" s="74"/>
      <c r="L568" s="75"/>
      <c r="M568" s="99"/>
      <c r="S568" s="74"/>
    </row>
    <row r="569" spans="4:19" ht="26.1" customHeight="1" x14ac:dyDescent="0.25">
      <c r="D569" s="74"/>
      <c r="F569" s="19"/>
      <c r="H569" s="119"/>
      <c r="I569" s="75"/>
      <c r="J569" s="75"/>
      <c r="K569" s="74"/>
      <c r="L569" s="75"/>
      <c r="M569" s="99"/>
      <c r="S569" s="74"/>
    </row>
    <row r="570" spans="4:19" ht="26.1" customHeight="1" x14ac:dyDescent="0.25">
      <c r="D570" s="74"/>
      <c r="F570" s="19"/>
      <c r="H570" s="119"/>
      <c r="I570" s="75"/>
      <c r="J570" s="75"/>
      <c r="K570" s="74"/>
      <c r="L570" s="75"/>
      <c r="M570" s="99"/>
      <c r="S570" s="74"/>
    </row>
    <row r="571" spans="4:19" ht="26.1" customHeight="1" x14ac:dyDescent="0.25">
      <c r="D571" s="74"/>
      <c r="F571" s="19"/>
      <c r="H571" s="119"/>
      <c r="I571" s="75"/>
      <c r="J571" s="75"/>
      <c r="K571" s="74"/>
      <c r="L571" s="75"/>
      <c r="M571" s="99"/>
      <c r="S571" s="74"/>
    </row>
    <row r="572" spans="4:19" ht="26.1" customHeight="1" x14ac:dyDescent="0.25">
      <c r="D572" s="74"/>
      <c r="F572" s="19"/>
      <c r="H572" s="119"/>
      <c r="I572" s="75"/>
      <c r="J572" s="75"/>
      <c r="K572" s="74"/>
      <c r="L572" s="75"/>
      <c r="M572" s="99"/>
      <c r="S572" s="74"/>
    </row>
    <row r="573" spans="4:19" ht="26.1" customHeight="1" x14ac:dyDescent="0.25">
      <c r="D573" s="74"/>
      <c r="F573" s="19"/>
      <c r="H573" s="119"/>
      <c r="I573" s="75"/>
      <c r="J573" s="75"/>
      <c r="K573" s="74"/>
      <c r="L573" s="75"/>
      <c r="M573" s="99"/>
      <c r="S573" s="74"/>
    </row>
    <row r="574" spans="4:19" ht="26.1" customHeight="1" x14ac:dyDescent="0.25">
      <c r="D574" s="74"/>
      <c r="F574" s="19"/>
      <c r="H574" s="119"/>
      <c r="I574" s="75"/>
      <c r="J574" s="75"/>
      <c r="K574" s="74"/>
      <c r="L574" s="75"/>
      <c r="M574" s="99"/>
      <c r="S574" s="74"/>
    </row>
    <row r="575" spans="4:19" ht="26.1" customHeight="1" x14ac:dyDescent="0.25">
      <c r="D575" s="74"/>
      <c r="F575" s="19"/>
      <c r="H575" s="119"/>
      <c r="I575" s="75"/>
      <c r="J575" s="75"/>
      <c r="K575" s="74"/>
      <c r="L575" s="75"/>
      <c r="M575" s="99"/>
      <c r="S575" s="74"/>
    </row>
    <row r="576" spans="4:19" ht="26.1" customHeight="1" x14ac:dyDescent="0.25">
      <c r="D576" s="74"/>
      <c r="F576" s="19"/>
      <c r="H576" s="119"/>
      <c r="I576" s="75"/>
      <c r="J576" s="75"/>
      <c r="K576" s="74"/>
      <c r="L576" s="75"/>
      <c r="M576" s="99"/>
      <c r="S576" s="74"/>
    </row>
    <row r="577" spans="4:19" ht="26.1" customHeight="1" x14ac:dyDescent="0.25">
      <c r="D577" s="74"/>
      <c r="F577" s="19"/>
      <c r="H577" s="119"/>
      <c r="I577" s="75"/>
      <c r="J577" s="75"/>
      <c r="K577" s="74"/>
      <c r="L577" s="75"/>
      <c r="M577" s="99"/>
      <c r="S577" s="74"/>
    </row>
    <row r="578" spans="4:19" ht="26.1" customHeight="1" x14ac:dyDescent="0.25">
      <c r="D578" s="74"/>
      <c r="F578" s="19"/>
      <c r="H578" s="119"/>
      <c r="I578" s="75"/>
      <c r="J578" s="75"/>
      <c r="K578" s="74"/>
      <c r="L578" s="75"/>
      <c r="M578" s="99"/>
      <c r="S578" s="74"/>
    </row>
    <row r="579" spans="4:19" ht="26.1" customHeight="1" x14ac:dyDescent="0.25">
      <c r="D579" s="74"/>
      <c r="F579" s="19"/>
      <c r="H579" s="119"/>
      <c r="I579" s="75"/>
      <c r="J579" s="75"/>
      <c r="K579" s="74"/>
      <c r="L579" s="75"/>
      <c r="M579" s="99"/>
      <c r="S579" s="74"/>
    </row>
    <row r="580" spans="4:19" ht="26.1" customHeight="1" x14ac:dyDescent="0.25">
      <c r="D580" s="74"/>
      <c r="F580" s="19"/>
      <c r="H580" s="119"/>
      <c r="I580" s="75"/>
      <c r="J580" s="75"/>
      <c r="K580" s="74"/>
      <c r="L580" s="75"/>
      <c r="M580" s="99"/>
      <c r="S580" s="74"/>
    </row>
    <row r="581" spans="4:19" ht="26.1" customHeight="1" x14ac:dyDescent="0.25">
      <c r="D581" s="74"/>
      <c r="F581" s="19"/>
      <c r="H581" s="119"/>
      <c r="I581" s="75"/>
      <c r="J581" s="75"/>
      <c r="K581" s="74"/>
      <c r="L581" s="75"/>
      <c r="M581" s="99"/>
      <c r="S581" s="74"/>
    </row>
    <row r="582" spans="4:19" ht="26.1" customHeight="1" x14ac:dyDescent="0.25">
      <c r="D582" s="74"/>
      <c r="F582" s="19"/>
      <c r="H582" s="119"/>
      <c r="I582" s="75"/>
      <c r="J582" s="75"/>
      <c r="K582" s="74"/>
      <c r="L582" s="75"/>
      <c r="M582" s="99"/>
      <c r="S582" s="74"/>
    </row>
    <row r="583" spans="4:19" ht="26.1" customHeight="1" x14ac:dyDescent="0.25">
      <c r="D583" s="74"/>
      <c r="F583" s="19"/>
      <c r="H583" s="119"/>
      <c r="I583" s="75"/>
      <c r="J583" s="75"/>
      <c r="K583" s="74"/>
      <c r="L583" s="75"/>
      <c r="M583" s="99"/>
      <c r="S583" s="74"/>
    </row>
    <row r="584" spans="4:19" ht="26.1" customHeight="1" x14ac:dyDescent="0.25">
      <c r="D584" s="74"/>
      <c r="F584" s="19"/>
      <c r="H584" s="119"/>
      <c r="I584" s="75"/>
      <c r="J584" s="75"/>
      <c r="K584" s="74"/>
      <c r="L584" s="75"/>
      <c r="M584" s="99"/>
      <c r="S584" s="74"/>
    </row>
    <row r="585" spans="4:19" ht="26.1" customHeight="1" x14ac:dyDescent="0.25">
      <c r="D585" s="74"/>
      <c r="F585" s="19"/>
      <c r="H585" s="119"/>
      <c r="I585" s="75"/>
      <c r="J585" s="75"/>
      <c r="K585" s="74"/>
      <c r="L585" s="75"/>
      <c r="M585" s="99"/>
      <c r="S585" s="74"/>
    </row>
    <row r="586" spans="4:19" ht="26.1" customHeight="1" x14ac:dyDescent="0.25">
      <c r="D586" s="74"/>
      <c r="F586" s="19"/>
      <c r="H586" s="119"/>
      <c r="I586" s="75"/>
      <c r="J586" s="75"/>
      <c r="K586" s="74"/>
      <c r="L586" s="75"/>
      <c r="M586" s="99"/>
      <c r="S586" s="74"/>
    </row>
    <row r="587" spans="4:19" ht="26.1" customHeight="1" x14ac:dyDescent="0.25">
      <c r="D587" s="74"/>
      <c r="F587" s="19"/>
      <c r="H587" s="119"/>
      <c r="I587" s="75"/>
      <c r="J587" s="75"/>
      <c r="K587" s="74"/>
      <c r="L587" s="75"/>
      <c r="M587" s="99"/>
      <c r="S587" s="74"/>
    </row>
    <row r="588" spans="4:19" ht="26.1" customHeight="1" x14ac:dyDescent="0.25">
      <c r="D588" s="74"/>
      <c r="F588" s="19"/>
      <c r="H588" s="119"/>
      <c r="I588" s="75"/>
      <c r="J588" s="75"/>
      <c r="K588" s="74"/>
      <c r="L588" s="75"/>
      <c r="M588" s="99"/>
      <c r="S588" s="74"/>
    </row>
    <row r="589" spans="4:19" ht="26.1" customHeight="1" x14ac:dyDescent="0.25">
      <c r="D589" s="74"/>
      <c r="F589" s="19"/>
      <c r="H589" s="119"/>
      <c r="I589" s="75"/>
      <c r="J589" s="75"/>
      <c r="K589" s="74"/>
      <c r="L589" s="75"/>
      <c r="M589" s="99"/>
      <c r="S589" s="74"/>
    </row>
    <row r="590" spans="4:19" ht="26.1" customHeight="1" x14ac:dyDescent="0.25">
      <c r="D590" s="74"/>
      <c r="F590" s="19"/>
      <c r="H590" s="119"/>
      <c r="I590" s="75"/>
      <c r="J590" s="75"/>
      <c r="K590" s="74"/>
      <c r="L590" s="75"/>
      <c r="M590" s="99"/>
      <c r="S590" s="74"/>
    </row>
    <row r="591" spans="4:19" ht="26.1" customHeight="1" x14ac:dyDescent="0.25">
      <c r="D591" s="74"/>
      <c r="F591" s="19"/>
      <c r="H591" s="119"/>
      <c r="I591" s="75"/>
      <c r="J591" s="75"/>
      <c r="K591" s="74"/>
      <c r="L591" s="75"/>
      <c r="M591" s="99"/>
      <c r="S591" s="74"/>
    </row>
    <row r="592" spans="4:19" ht="26.1" customHeight="1" x14ac:dyDescent="0.25">
      <c r="D592" s="74"/>
      <c r="F592" s="19"/>
      <c r="H592" s="119"/>
      <c r="I592" s="75"/>
      <c r="J592" s="75"/>
      <c r="K592" s="74"/>
      <c r="L592" s="75"/>
      <c r="M592" s="99"/>
      <c r="S592" s="74"/>
    </row>
    <row r="593" spans="4:19" ht="26.1" customHeight="1" x14ac:dyDescent="0.25">
      <c r="D593" s="74"/>
      <c r="F593" s="19"/>
      <c r="H593" s="119"/>
      <c r="I593" s="75"/>
      <c r="J593" s="75"/>
      <c r="K593" s="74"/>
      <c r="L593" s="75"/>
      <c r="M593" s="99"/>
      <c r="S593" s="74"/>
    </row>
    <row r="594" spans="4:19" ht="26.1" customHeight="1" x14ac:dyDescent="0.25">
      <c r="D594" s="74"/>
      <c r="F594" s="19"/>
      <c r="H594" s="119"/>
      <c r="I594" s="75"/>
      <c r="J594" s="75"/>
      <c r="K594" s="74"/>
      <c r="L594" s="75"/>
      <c r="M594" s="99"/>
      <c r="S594" s="74"/>
    </row>
    <row r="595" spans="4:19" ht="26.1" customHeight="1" x14ac:dyDescent="0.25">
      <c r="D595" s="74"/>
      <c r="F595" s="19"/>
      <c r="H595" s="119"/>
      <c r="I595" s="75"/>
      <c r="J595" s="75"/>
      <c r="K595" s="74"/>
      <c r="L595" s="75"/>
      <c r="M595" s="99"/>
      <c r="S595" s="74"/>
    </row>
    <row r="596" spans="4:19" ht="26.1" customHeight="1" x14ac:dyDescent="0.25">
      <c r="D596" s="74"/>
      <c r="F596" s="19"/>
      <c r="H596" s="119"/>
      <c r="I596" s="75"/>
      <c r="J596" s="75"/>
      <c r="K596" s="74"/>
      <c r="L596" s="75"/>
      <c r="M596" s="99"/>
      <c r="S596" s="74"/>
    </row>
    <row r="597" spans="4:19" ht="26.1" customHeight="1" x14ac:dyDescent="0.25">
      <c r="D597" s="74"/>
      <c r="F597" s="19"/>
      <c r="H597" s="119"/>
      <c r="I597" s="75"/>
      <c r="J597" s="75"/>
      <c r="K597" s="74"/>
      <c r="L597" s="75"/>
      <c r="M597" s="99"/>
      <c r="S597" s="74"/>
    </row>
    <row r="598" spans="4:19" ht="26.1" customHeight="1" x14ac:dyDescent="0.25">
      <c r="D598" s="74"/>
      <c r="F598" s="19"/>
      <c r="H598" s="119"/>
      <c r="I598" s="75"/>
      <c r="J598" s="75"/>
      <c r="K598" s="74"/>
      <c r="L598" s="75"/>
      <c r="M598" s="99"/>
      <c r="S598" s="74"/>
    </row>
    <row r="599" spans="4:19" ht="26.1" customHeight="1" x14ac:dyDescent="0.25">
      <c r="D599" s="74"/>
      <c r="F599" s="19"/>
      <c r="H599" s="119"/>
      <c r="I599" s="75"/>
      <c r="J599" s="75"/>
      <c r="K599" s="74"/>
      <c r="L599" s="75"/>
      <c r="M599" s="99"/>
      <c r="S599" s="74"/>
    </row>
    <row r="600" spans="4:19" ht="26.1" customHeight="1" x14ac:dyDescent="0.25">
      <c r="D600" s="74"/>
      <c r="F600" s="19"/>
      <c r="H600" s="119"/>
      <c r="I600" s="75"/>
      <c r="J600" s="75"/>
      <c r="K600" s="74"/>
      <c r="L600" s="75"/>
      <c r="M600" s="99"/>
      <c r="S600" s="74"/>
    </row>
    <row r="601" spans="4:19" ht="26.1" customHeight="1" x14ac:dyDescent="0.25">
      <c r="D601" s="74"/>
      <c r="F601" s="19"/>
      <c r="H601" s="119"/>
      <c r="I601" s="75"/>
      <c r="J601" s="75"/>
      <c r="K601" s="74"/>
      <c r="L601" s="75"/>
      <c r="M601" s="99"/>
      <c r="S601" s="74"/>
    </row>
    <row r="602" spans="4:19" ht="26.1" customHeight="1" x14ac:dyDescent="0.25">
      <c r="D602" s="74"/>
      <c r="F602" s="19"/>
      <c r="H602" s="119"/>
      <c r="I602" s="75"/>
      <c r="J602" s="75"/>
      <c r="K602" s="74"/>
      <c r="L602" s="75"/>
      <c r="M602" s="99"/>
      <c r="S602" s="74"/>
    </row>
    <row r="603" spans="4:19" ht="26.1" customHeight="1" x14ac:dyDescent="0.25">
      <c r="D603" s="74"/>
      <c r="F603" s="19"/>
      <c r="H603" s="119"/>
      <c r="I603" s="75"/>
      <c r="J603" s="75"/>
      <c r="K603" s="74"/>
      <c r="L603" s="75"/>
      <c r="M603" s="99"/>
      <c r="S603" s="74"/>
    </row>
    <row r="604" spans="4:19" ht="26.1" customHeight="1" x14ac:dyDescent="0.25">
      <c r="D604" s="74"/>
      <c r="F604" s="19"/>
      <c r="H604" s="119"/>
      <c r="I604" s="75"/>
      <c r="J604" s="75"/>
      <c r="K604" s="74"/>
      <c r="L604" s="75"/>
      <c r="M604" s="99"/>
      <c r="S604" s="74"/>
    </row>
    <row r="605" spans="4:19" ht="26.1" customHeight="1" x14ac:dyDescent="0.25">
      <c r="D605" s="74"/>
      <c r="F605" s="19"/>
      <c r="H605" s="119"/>
      <c r="I605" s="75"/>
      <c r="J605" s="75"/>
      <c r="K605" s="74"/>
      <c r="L605" s="75"/>
      <c r="M605" s="99"/>
      <c r="S605" s="74"/>
    </row>
    <row r="606" spans="4:19" ht="26.1" customHeight="1" x14ac:dyDescent="0.25">
      <c r="D606" s="74"/>
      <c r="F606" s="19"/>
      <c r="H606" s="119"/>
      <c r="I606" s="75"/>
      <c r="J606" s="75"/>
      <c r="K606" s="74"/>
      <c r="L606" s="75"/>
      <c r="M606" s="99"/>
      <c r="S606" s="74"/>
    </row>
    <row r="607" spans="4:19" ht="26.1" customHeight="1" x14ac:dyDescent="0.25">
      <c r="D607" s="74"/>
      <c r="F607" s="19"/>
      <c r="H607" s="119"/>
      <c r="I607" s="75"/>
      <c r="J607" s="75"/>
      <c r="K607" s="74"/>
      <c r="L607" s="75"/>
      <c r="M607" s="99"/>
      <c r="S607" s="74"/>
    </row>
    <row r="608" spans="4:19" ht="26.1" customHeight="1" x14ac:dyDescent="0.25">
      <c r="D608" s="74"/>
      <c r="F608" s="19"/>
      <c r="H608" s="119"/>
      <c r="I608" s="75"/>
      <c r="J608" s="75"/>
      <c r="K608" s="74"/>
      <c r="L608" s="75"/>
      <c r="M608" s="99"/>
      <c r="S608" s="74"/>
    </row>
    <row r="609" spans="4:19" ht="26.1" customHeight="1" x14ac:dyDescent="0.25">
      <c r="D609" s="74"/>
      <c r="F609" s="19"/>
      <c r="H609" s="119"/>
      <c r="I609" s="75"/>
      <c r="J609" s="75"/>
      <c r="K609" s="74"/>
      <c r="L609" s="75"/>
      <c r="M609" s="99"/>
      <c r="S609" s="74"/>
    </row>
    <row r="610" spans="4:19" ht="26.1" customHeight="1" x14ac:dyDescent="0.25">
      <c r="D610" s="74"/>
      <c r="F610" s="19"/>
      <c r="H610" s="119"/>
      <c r="I610" s="75"/>
      <c r="J610" s="75"/>
      <c r="K610" s="74"/>
      <c r="L610" s="75"/>
      <c r="M610" s="99"/>
      <c r="S610" s="74"/>
    </row>
    <row r="611" spans="4:19" ht="26.1" customHeight="1" x14ac:dyDescent="0.25">
      <c r="D611" s="74"/>
      <c r="F611" s="19"/>
      <c r="H611" s="119"/>
      <c r="I611" s="75"/>
      <c r="J611" s="75"/>
      <c r="K611" s="74"/>
      <c r="L611" s="75"/>
      <c r="M611" s="99"/>
      <c r="S611" s="74"/>
    </row>
    <row r="612" spans="4:19" ht="26.1" customHeight="1" x14ac:dyDescent="0.25">
      <c r="D612" s="74"/>
      <c r="F612" s="19"/>
      <c r="H612" s="119"/>
      <c r="I612" s="75"/>
      <c r="J612" s="75"/>
      <c r="K612" s="74"/>
      <c r="L612" s="75"/>
      <c r="M612" s="99"/>
      <c r="S612" s="74"/>
    </row>
    <row r="613" spans="4:19" ht="26.1" customHeight="1" x14ac:dyDescent="0.25">
      <c r="D613" s="74"/>
      <c r="F613" s="19"/>
      <c r="H613" s="119"/>
      <c r="I613" s="75"/>
      <c r="J613" s="75"/>
      <c r="K613" s="74"/>
      <c r="L613" s="75"/>
      <c r="M613" s="99"/>
      <c r="S613" s="74"/>
    </row>
    <row r="614" spans="4:19" ht="26.1" customHeight="1" x14ac:dyDescent="0.25">
      <c r="D614" s="74"/>
      <c r="F614" s="19"/>
      <c r="H614" s="119"/>
      <c r="I614" s="75"/>
      <c r="J614" s="75"/>
      <c r="K614" s="74"/>
      <c r="L614" s="75"/>
      <c r="M614" s="99"/>
      <c r="S614" s="74"/>
    </row>
    <row r="615" spans="4:19" ht="26.1" customHeight="1" x14ac:dyDescent="0.25">
      <c r="D615" s="74"/>
      <c r="F615" s="19"/>
      <c r="H615" s="119"/>
      <c r="I615" s="75"/>
      <c r="J615" s="75"/>
      <c r="K615" s="74"/>
      <c r="L615" s="75"/>
      <c r="M615" s="99"/>
      <c r="S615" s="74"/>
    </row>
    <row r="616" spans="4:19" ht="26.1" customHeight="1" x14ac:dyDescent="0.25">
      <c r="D616" s="74"/>
      <c r="F616" s="19"/>
      <c r="H616" s="119"/>
      <c r="I616" s="75"/>
      <c r="J616" s="75"/>
      <c r="K616" s="74"/>
      <c r="L616" s="75"/>
      <c r="M616" s="99"/>
      <c r="S616" s="74"/>
    </row>
    <row r="617" spans="4:19" ht="26.1" customHeight="1" x14ac:dyDescent="0.25">
      <c r="D617" s="74"/>
      <c r="F617" s="19"/>
      <c r="H617" s="119"/>
      <c r="I617" s="75"/>
      <c r="J617" s="75"/>
      <c r="K617" s="74"/>
      <c r="L617" s="75"/>
      <c r="M617" s="99"/>
      <c r="S617" s="74"/>
    </row>
    <row r="618" spans="4:19" ht="26.1" customHeight="1" x14ac:dyDescent="0.25">
      <c r="D618" s="74"/>
      <c r="F618" s="19"/>
      <c r="H618" s="119"/>
      <c r="I618" s="75"/>
      <c r="J618" s="75"/>
      <c r="K618" s="74"/>
      <c r="L618" s="75"/>
      <c r="M618" s="99"/>
      <c r="S618" s="74"/>
    </row>
    <row r="619" spans="4:19" ht="26.1" customHeight="1" x14ac:dyDescent="0.25">
      <c r="D619" s="74"/>
      <c r="F619" s="19"/>
      <c r="H619" s="119"/>
      <c r="I619" s="75"/>
      <c r="J619" s="75"/>
      <c r="K619" s="74"/>
      <c r="L619" s="75"/>
      <c r="M619" s="99"/>
      <c r="S619" s="74"/>
    </row>
    <row r="620" spans="4:19" ht="26.1" customHeight="1" x14ac:dyDescent="0.25">
      <c r="D620" s="74"/>
      <c r="F620" s="19"/>
      <c r="H620" s="119"/>
      <c r="I620" s="75"/>
      <c r="J620" s="75"/>
      <c r="K620" s="74"/>
      <c r="L620" s="75"/>
      <c r="M620" s="99"/>
      <c r="S620" s="74"/>
    </row>
    <row r="621" spans="4:19" ht="26.1" customHeight="1" x14ac:dyDescent="0.25">
      <c r="D621" s="74"/>
      <c r="F621" s="19"/>
      <c r="H621" s="119"/>
      <c r="I621" s="75"/>
      <c r="J621" s="75"/>
      <c r="K621" s="74"/>
      <c r="L621" s="75"/>
      <c r="M621" s="99"/>
      <c r="S621" s="74"/>
    </row>
    <row r="622" spans="4:19" ht="26.1" customHeight="1" x14ac:dyDescent="0.25">
      <c r="D622" s="74"/>
      <c r="F622" s="19"/>
      <c r="H622" s="119"/>
      <c r="I622" s="75"/>
      <c r="J622" s="75"/>
      <c r="K622" s="74"/>
      <c r="L622" s="75"/>
      <c r="M622" s="99"/>
      <c r="S622" s="74"/>
    </row>
    <row r="623" spans="4:19" ht="26.1" customHeight="1" x14ac:dyDescent="0.25">
      <c r="D623" s="74"/>
      <c r="F623" s="19"/>
      <c r="H623" s="119"/>
      <c r="I623" s="75"/>
      <c r="J623" s="75"/>
      <c r="K623" s="74"/>
      <c r="L623" s="75"/>
      <c r="M623" s="99"/>
      <c r="S623" s="74"/>
    </row>
    <row r="624" spans="4:19" ht="26.1" customHeight="1" x14ac:dyDescent="0.25">
      <c r="D624" s="74"/>
      <c r="F624" s="19"/>
      <c r="H624" s="119"/>
      <c r="I624" s="75"/>
      <c r="J624" s="75"/>
      <c r="K624" s="74"/>
      <c r="L624" s="75"/>
      <c r="M624" s="99"/>
      <c r="S624" s="74"/>
    </row>
    <row r="625" spans="4:19" ht="26.1" customHeight="1" x14ac:dyDescent="0.25">
      <c r="D625" s="74"/>
      <c r="F625" s="19"/>
      <c r="H625" s="119"/>
      <c r="I625" s="75"/>
      <c r="J625" s="75"/>
      <c r="K625" s="74"/>
      <c r="L625" s="75"/>
      <c r="M625" s="99"/>
      <c r="S625" s="74"/>
    </row>
    <row r="626" spans="4:19" ht="26.1" customHeight="1" x14ac:dyDescent="0.25">
      <c r="D626" s="74"/>
      <c r="F626" s="19"/>
      <c r="H626" s="119"/>
      <c r="I626" s="75"/>
      <c r="J626" s="75"/>
      <c r="K626" s="74"/>
      <c r="L626" s="75"/>
      <c r="M626" s="99"/>
      <c r="S626" s="74"/>
    </row>
    <row r="627" spans="4:19" ht="26.1" customHeight="1" x14ac:dyDescent="0.25">
      <c r="D627" s="74"/>
      <c r="F627" s="19"/>
      <c r="H627" s="119"/>
      <c r="I627" s="75"/>
      <c r="J627" s="75"/>
      <c r="K627" s="74"/>
      <c r="L627" s="75"/>
      <c r="M627" s="99"/>
      <c r="S627" s="74"/>
    </row>
    <row r="628" spans="4:19" ht="26.1" customHeight="1" x14ac:dyDescent="0.25">
      <c r="D628" s="74"/>
      <c r="F628" s="19"/>
      <c r="H628" s="119"/>
      <c r="I628" s="75"/>
      <c r="J628" s="75"/>
      <c r="K628" s="74"/>
      <c r="L628" s="75"/>
      <c r="M628" s="99"/>
      <c r="S628" s="74"/>
    </row>
    <row r="629" spans="4:19" ht="26.1" customHeight="1" x14ac:dyDescent="0.25">
      <c r="D629" s="74"/>
      <c r="F629" s="19"/>
      <c r="H629" s="119"/>
      <c r="I629" s="75"/>
      <c r="J629" s="75"/>
      <c r="K629" s="74"/>
      <c r="L629" s="75"/>
      <c r="M629" s="99"/>
      <c r="S629" s="74"/>
    </row>
    <row r="630" spans="4:19" ht="26.1" customHeight="1" x14ac:dyDescent="0.25">
      <c r="D630" s="74"/>
      <c r="F630" s="19"/>
      <c r="H630" s="119"/>
      <c r="I630" s="75"/>
      <c r="J630" s="75"/>
      <c r="K630" s="74"/>
      <c r="L630" s="75"/>
      <c r="M630" s="99"/>
      <c r="S630" s="74"/>
    </row>
    <row r="631" spans="4:19" ht="26.1" customHeight="1" x14ac:dyDescent="0.25">
      <c r="D631" s="74"/>
      <c r="F631" s="19"/>
      <c r="H631" s="119"/>
      <c r="I631" s="75"/>
      <c r="J631" s="75"/>
      <c r="K631" s="74"/>
      <c r="L631" s="75"/>
      <c r="M631" s="99"/>
      <c r="S631" s="74"/>
    </row>
    <row r="632" spans="4:19" ht="26.1" customHeight="1" x14ac:dyDescent="0.25">
      <c r="D632" s="74"/>
      <c r="F632" s="19"/>
      <c r="H632" s="119"/>
      <c r="I632" s="75"/>
      <c r="J632" s="75"/>
      <c r="K632" s="74"/>
      <c r="L632" s="75"/>
      <c r="M632" s="99"/>
      <c r="S632" s="74"/>
    </row>
    <row r="633" spans="4:19" ht="26.1" customHeight="1" x14ac:dyDescent="0.25">
      <c r="D633" s="74"/>
      <c r="F633" s="19"/>
      <c r="H633" s="119"/>
      <c r="I633" s="75"/>
      <c r="J633" s="75"/>
      <c r="K633" s="74"/>
      <c r="L633" s="75"/>
      <c r="M633" s="99"/>
      <c r="S633" s="74"/>
    </row>
    <row r="634" spans="4:19" ht="26.1" customHeight="1" x14ac:dyDescent="0.25">
      <c r="D634" s="74"/>
      <c r="F634" s="19"/>
      <c r="H634" s="119"/>
      <c r="I634" s="75"/>
      <c r="J634" s="75"/>
      <c r="K634" s="74"/>
      <c r="L634" s="75"/>
      <c r="M634" s="99"/>
      <c r="S634" s="74"/>
    </row>
    <row r="635" spans="4:19" ht="26.1" customHeight="1" x14ac:dyDescent="0.25">
      <c r="D635" s="74"/>
      <c r="F635" s="19"/>
      <c r="H635" s="119"/>
      <c r="I635" s="75"/>
      <c r="J635" s="75"/>
      <c r="K635" s="74"/>
      <c r="L635" s="75"/>
      <c r="M635" s="99"/>
      <c r="S635" s="74"/>
    </row>
    <row r="636" spans="4:19" ht="26.1" customHeight="1" x14ac:dyDescent="0.25">
      <c r="D636" s="74"/>
      <c r="F636" s="19"/>
      <c r="H636" s="119"/>
      <c r="I636" s="75"/>
      <c r="J636" s="75"/>
      <c r="K636" s="74"/>
      <c r="L636" s="75"/>
      <c r="M636" s="99"/>
      <c r="S636" s="74"/>
    </row>
    <row r="637" spans="4:19" ht="26.1" customHeight="1" x14ac:dyDescent="0.25">
      <c r="D637" s="74"/>
      <c r="F637" s="19"/>
      <c r="H637" s="119"/>
      <c r="I637" s="75"/>
      <c r="J637" s="75"/>
      <c r="K637" s="74"/>
      <c r="L637" s="75"/>
      <c r="M637" s="99"/>
      <c r="S637" s="74"/>
    </row>
    <row r="638" spans="4:19" ht="26.1" customHeight="1" x14ac:dyDescent="0.25">
      <c r="D638" s="74"/>
      <c r="F638" s="19"/>
      <c r="H638" s="119"/>
      <c r="I638" s="75"/>
      <c r="J638" s="75"/>
      <c r="K638" s="74"/>
      <c r="L638" s="75"/>
      <c r="M638" s="99"/>
      <c r="S638" s="74"/>
    </row>
    <row r="639" spans="4:19" ht="26.1" customHeight="1" x14ac:dyDescent="0.25">
      <c r="D639" s="74"/>
      <c r="F639" s="19"/>
      <c r="H639" s="119"/>
      <c r="I639" s="75"/>
      <c r="J639" s="75"/>
      <c r="K639" s="74"/>
      <c r="L639" s="75"/>
      <c r="M639" s="99"/>
      <c r="S639" s="74"/>
    </row>
    <row r="640" spans="4:19" ht="26.1" customHeight="1" x14ac:dyDescent="0.25">
      <c r="D640" s="74"/>
      <c r="F640" s="19"/>
      <c r="H640" s="119"/>
      <c r="I640" s="75"/>
      <c r="J640" s="75"/>
      <c r="K640" s="74"/>
      <c r="L640" s="75"/>
      <c r="M640" s="99"/>
      <c r="S640" s="74"/>
    </row>
    <row r="641" spans="4:19" ht="26.1" customHeight="1" x14ac:dyDescent="0.25">
      <c r="D641" s="74"/>
      <c r="F641" s="19"/>
      <c r="H641" s="119"/>
      <c r="I641" s="75"/>
      <c r="J641" s="75"/>
      <c r="K641" s="74"/>
      <c r="L641" s="75"/>
      <c r="M641" s="99"/>
      <c r="S641" s="74"/>
    </row>
    <row r="642" spans="4:19" ht="26.1" customHeight="1" x14ac:dyDescent="0.25">
      <c r="D642" s="74"/>
      <c r="F642" s="19"/>
      <c r="H642" s="119"/>
      <c r="I642" s="75"/>
      <c r="J642" s="75"/>
      <c r="K642" s="74"/>
      <c r="L642" s="75"/>
      <c r="M642" s="99"/>
      <c r="S642" s="74"/>
    </row>
    <row r="643" spans="4:19" ht="26.1" customHeight="1" x14ac:dyDescent="0.25">
      <c r="D643" s="74"/>
      <c r="F643" s="19"/>
      <c r="H643" s="119"/>
      <c r="I643" s="75"/>
      <c r="J643" s="75"/>
      <c r="K643" s="74"/>
      <c r="L643" s="75"/>
      <c r="M643" s="99"/>
      <c r="S643" s="74"/>
    </row>
    <row r="644" spans="4:19" ht="26.1" customHeight="1" x14ac:dyDescent="0.25">
      <c r="D644" s="74"/>
      <c r="F644" s="19"/>
      <c r="H644" s="119"/>
      <c r="I644" s="75"/>
      <c r="J644" s="75"/>
      <c r="K644" s="74"/>
      <c r="L644" s="75"/>
      <c r="M644" s="99"/>
      <c r="S644" s="74"/>
    </row>
    <row r="645" spans="4:19" ht="26.1" customHeight="1" x14ac:dyDescent="0.25">
      <c r="D645" s="74"/>
      <c r="F645" s="19"/>
      <c r="H645" s="119"/>
      <c r="I645" s="75"/>
      <c r="J645" s="75"/>
      <c r="K645" s="74"/>
      <c r="L645" s="75"/>
      <c r="M645" s="99"/>
      <c r="S645" s="74"/>
    </row>
    <row r="646" spans="4:19" ht="26.1" customHeight="1" x14ac:dyDescent="0.25">
      <c r="D646" s="74"/>
      <c r="F646" s="19"/>
      <c r="H646" s="119"/>
      <c r="I646" s="75"/>
      <c r="J646" s="75"/>
      <c r="K646" s="74"/>
      <c r="L646" s="75"/>
      <c r="M646" s="99"/>
      <c r="S646" s="74"/>
    </row>
    <row r="647" spans="4:19" ht="26.1" customHeight="1" x14ac:dyDescent="0.25">
      <c r="D647" s="74"/>
      <c r="F647" s="19"/>
      <c r="H647" s="119"/>
      <c r="I647" s="75"/>
      <c r="J647" s="75"/>
      <c r="K647" s="74"/>
      <c r="L647" s="75"/>
      <c r="M647" s="99"/>
      <c r="S647" s="74"/>
    </row>
    <row r="648" spans="4:19" ht="26.1" customHeight="1" x14ac:dyDescent="0.25">
      <c r="D648" s="74"/>
      <c r="F648" s="19"/>
      <c r="H648" s="119"/>
      <c r="I648" s="75"/>
      <c r="J648" s="75"/>
      <c r="K648" s="74"/>
      <c r="L648" s="75"/>
      <c r="M648" s="99"/>
      <c r="S648" s="74"/>
    </row>
    <row r="649" spans="4:19" ht="26.1" customHeight="1" x14ac:dyDescent="0.25">
      <c r="D649" s="74"/>
      <c r="F649" s="19"/>
      <c r="H649" s="119"/>
      <c r="I649" s="75"/>
      <c r="J649" s="75"/>
      <c r="K649" s="74"/>
      <c r="L649" s="75"/>
      <c r="M649" s="99"/>
      <c r="S649" s="74"/>
    </row>
    <row r="650" spans="4:19" ht="26.1" customHeight="1" x14ac:dyDescent="0.25">
      <c r="D650" s="74"/>
      <c r="F650" s="19"/>
      <c r="H650" s="119"/>
      <c r="I650" s="75"/>
      <c r="J650" s="75"/>
      <c r="K650" s="74"/>
      <c r="L650" s="75"/>
      <c r="M650" s="99"/>
      <c r="S650" s="74"/>
    </row>
    <row r="651" spans="4:19" ht="26.1" customHeight="1" x14ac:dyDescent="0.25">
      <c r="D651" s="74"/>
      <c r="F651" s="19"/>
      <c r="H651" s="119"/>
      <c r="I651" s="75"/>
      <c r="J651" s="75"/>
      <c r="K651" s="74"/>
      <c r="L651" s="75"/>
      <c r="M651" s="99"/>
      <c r="S651" s="74"/>
    </row>
    <row r="652" spans="4:19" ht="26.1" customHeight="1" x14ac:dyDescent="0.25">
      <c r="D652" s="74"/>
      <c r="F652" s="19"/>
      <c r="H652" s="119"/>
      <c r="I652" s="75"/>
      <c r="J652" s="75"/>
      <c r="K652" s="74"/>
      <c r="L652" s="75"/>
      <c r="M652" s="99"/>
      <c r="S652" s="74"/>
    </row>
    <row r="653" spans="4:19" ht="26.1" customHeight="1" x14ac:dyDescent="0.25">
      <c r="D653" s="74"/>
      <c r="F653" s="19"/>
      <c r="H653" s="119"/>
      <c r="I653" s="75"/>
      <c r="J653" s="75"/>
      <c r="K653" s="74"/>
      <c r="L653" s="75"/>
      <c r="M653" s="99"/>
      <c r="S653" s="74"/>
    </row>
    <row r="654" spans="4:19" ht="26.1" customHeight="1" x14ac:dyDescent="0.25">
      <c r="D654" s="74"/>
      <c r="F654" s="19"/>
      <c r="H654" s="119"/>
      <c r="I654" s="75"/>
      <c r="J654" s="75"/>
      <c r="K654" s="74"/>
      <c r="L654" s="75"/>
      <c r="M654" s="99"/>
      <c r="S654" s="74"/>
    </row>
    <row r="655" spans="4:19" ht="26.1" customHeight="1" x14ac:dyDescent="0.25">
      <c r="D655" s="74"/>
      <c r="F655" s="19"/>
      <c r="H655" s="119"/>
      <c r="I655" s="75"/>
      <c r="J655" s="75"/>
      <c r="K655" s="74"/>
      <c r="L655" s="75"/>
      <c r="M655" s="99"/>
      <c r="S655" s="74"/>
    </row>
    <row r="656" spans="4:19" ht="26.1" customHeight="1" x14ac:dyDescent="0.25">
      <c r="D656" s="74"/>
      <c r="F656" s="19"/>
      <c r="H656" s="119"/>
      <c r="I656" s="75"/>
      <c r="J656" s="75"/>
      <c r="K656" s="74"/>
      <c r="L656" s="75"/>
      <c r="M656" s="99"/>
      <c r="S656" s="74"/>
    </row>
    <row r="657" spans="4:19" ht="26.1" customHeight="1" x14ac:dyDescent="0.25">
      <c r="D657" s="74"/>
      <c r="F657" s="19"/>
      <c r="H657" s="119"/>
      <c r="I657" s="75"/>
      <c r="J657" s="75"/>
      <c r="K657" s="74"/>
      <c r="L657" s="75"/>
      <c r="M657" s="99"/>
      <c r="S657" s="74"/>
    </row>
    <row r="658" spans="4:19" ht="26.1" customHeight="1" x14ac:dyDescent="0.25">
      <c r="D658" s="74"/>
      <c r="F658" s="19"/>
      <c r="H658" s="119"/>
      <c r="I658" s="75"/>
      <c r="J658" s="75"/>
      <c r="K658" s="74"/>
      <c r="L658" s="75"/>
      <c r="M658" s="99"/>
      <c r="S658" s="74"/>
    </row>
    <row r="659" spans="4:19" ht="26.1" customHeight="1" x14ac:dyDescent="0.25">
      <c r="D659" s="74"/>
      <c r="F659" s="19"/>
      <c r="H659" s="119"/>
      <c r="I659" s="75"/>
      <c r="J659" s="75"/>
      <c r="K659" s="74"/>
      <c r="L659" s="75"/>
      <c r="M659" s="99"/>
      <c r="S659" s="74"/>
    </row>
    <row r="660" spans="4:19" ht="26.1" customHeight="1" x14ac:dyDescent="0.25">
      <c r="D660" s="74"/>
      <c r="F660" s="19"/>
      <c r="H660" s="119"/>
      <c r="I660" s="75"/>
      <c r="J660" s="75"/>
      <c r="K660" s="74"/>
      <c r="L660" s="75"/>
      <c r="M660" s="99"/>
      <c r="S660" s="74"/>
    </row>
    <row r="661" spans="4:19" ht="26.1" customHeight="1" x14ac:dyDescent="0.25">
      <c r="D661" s="74"/>
      <c r="F661" s="19"/>
      <c r="H661" s="119"/>
      <c r="I661" s="75"/>
      <c r="J661" s="75"/>
      <c r="K661" s="74"/>
      <c r="L661" s="75"/>
      <c r="M661" s="99"/>
      <c r="S661" s="74"/>
    </row>
    <row r="662" spans="4:19" ht="26.1" customHeight="1" x14ac:dyDescent="0.25">
      <c r="D662" s="74"/>
      <c r="F662" s="19"/>
      <c r="H662" s="119"/>
      <c r="I662" s="75"/>
      <c r="J662" s="75"/>
      <c r="K662" s="74"/>
      <c r="L662" s="75"/>
      <c r="M662" s="99"/>
      <c r="S662" s="74"/>
    </row>
    <row r="663" spans="4:19" ht="26.1" customHeight="1" x14ac:dyDescent="0.25">
      <c r="D663" s="74"/>
      <c r="F663" s="19"/>
      <c r="H663" s="119"/>
      <c r="I663" s="75"/>
      <c r="J663" s="75"/>
      <c r="K663" s="74"/>
      <c r="L663" s="75"/>
      <c r="M663" s="99"/>
      <c r="S663" s="74"/>
    </row>
    <row r="664" spans="4:19" ht="26.1" customHeight="1" x14ac:dyDescent="0.25">
      <c r="D664" s="74"/>
      <c r="F664" s="19"/>
      <c r="H664" s="119"/>
      <c r="I664" s="75"/>
      <c r="J664" s="75"/>
      <c r="K664" s="74"/>
      <c r="L664" s="75"/>
      <c r="M664" s="99"/>
      <c r="S664" s="74"/>
    </row>
    <row r="665" spans="4:19" ht="26.1" customHeight="1" x14ac:dyDescent="0.25">
      <c r="D665" s="74"/>
      <c r="F665" s="19"/>
      <c r="H665" s="119"/>
      <c r="I665" s="75"/>
      <c r="J665" s="75"/>
      <c r="K665" s="74"/>
      <c r="L665" s="75"/>
      <c r="M665" s="99"/>
      <c r="S665" s="74"/>
    </row>
    <row r="666" spans="4:19" ht="26.1" customHeight="1" x14ac:dyDescent="0.25">
      <c r="D666" s="74"/>
      <c r="F666" s="19"/>
      <c r="H666" s="119"/>
      <c r="I666" s="75"/>
      <c r="J666" s="75"/>
      <c r="K666" s="74"/>
      <c r="L666" s="75"/>
      <c r="M666" s="99"/>
      <c r="S666" s="74"/>
    </row>
    <row r="667" spans="4:19" ht="26.1" customHeight="1" x14ac:dyDescent="0.25">
      <c r="D667" s="74"/>
      <c r="F667" s="19"/>
      <c r="H667" s="119"/>
      <c r="I667" s="75"/>
      <c r="J667" s="75"/>
      <c r="K667" s="74"/>
      <c r="L667" s="75"/>
      <c r="M667" s="99"/>
      <c r="S667" s="74"/>
    </row>
    <row r="668" spans="4:19" ht="26.1" customHeight="1" x14ac:dyDescent="0.25">
      <c r="D668" s="74"/>
      <c r="F668" s="19"/>
      <c r="H668" s="119"/>
      <c r="I668" s="75"/>
      <c r="J668" s="75"/>
      <c r="K668" s="74"/>
      <c r="L668" s="75"/>
      <c r="M668" s="99"/>
      <c r="S668" s="74"/>
    </row>
    <row r="669" spans="4:19" ht="26.1" customHeight="1" x14ac:dyDescent="0.25">
      <c r="D669" s="74"/>
      <c r="F669" s="19"/>
      <c r="H669" s="119"/>
      <c r="I669" s="75"/>
      <c r="J669" s="75"/>
      <c r="K669" s="74"/>
      <c r="L669" s="75"/>
      <c r="M669" s="99"/>
      <c r="S669" s="74"/>
    </row>
    <row r="670" spans="4:19" ht="26.1" customHeight="1" x14ac:dyDescent="0.25">
      <c r="D670" s="74"/>
      <c r="F670" s="19"/>
      <c r="H670" s="119"/>
      <c r="I670" s="75"/>
      <c r="J670" s="75"/>
      <c r="K670" s="74"/>
      <c r="L670" s="75"/>
      <c r="M670" s="99"/>
      <c r="S670" s="74"/>
    </row>
    <row r="671" spans="4:19" ht="26.1" customHeight="1" x14ac:dyDescent="0.25">
      <c r="D671" s="74"/>
      <c r="F671" s="19"/>
      <c r="H671" s="119"/>
      <c r="I671" s="75"/>
      <c r="J671" s="75"/>
      <c r="K671" s="74"/>
      <c r="L671" s="75"/>
      <c r="M671" s="99"/>
      <c r="S671" s="74"/>
    </row>
    <row r="672" spans="4:19" ht="26.1" customHeight="1" x14ac:dyDescent="0.25">
      <c r="D672" s="74"/>
      <c r="F672" s="19"/>
      <c r="H672" s="119"/>
      <c r="I672" s="75"/>
      <c r="J672" s="75"/>
      <c r="K672" s="74"/>
      <c r="L672" s="75"/>
      <c r="M672" s="99"/>
      <c r="S672" s="74"/>
    </row>
    <row r="673" spans="4:19" ht="26.1" customHeight="1" x14ac:dyDescent="0.25">
      <c r="D673" s="74"/>
      <c r="F673" s="19"/>
      <c r="H673" s="119"/>
      <c r="I673" s="75"/>
      <c r="J673" s="75"/>
      <c r="K673" s="74"/>
      <c r="L673" s="75"/>
      <c r="M673" s="99"/>
      <c r="S673" s="74"/>
    </row>
    <row r="674" spans="4:19" ht="26.1" customHeight="1" x14ac:dyDescent="0.25">
      <c r="D674" s="74"/>
      <c r="F674" s="19"/>
      <c r="H674" s="119"/>
      <c r="I674" s="75"/>
      <c r="J674" s="75"/>
      <c r="K674" s="74"/>
      <c r="L674" s="75"/>
      <c r="M674" s="99"/>
      <c r="S674" s="74"/>
    </row>
    <row r="675" spans="4:19" ht="26.1" customHeight="1" x14ac:dyDescent="0.25">
      <c r="D675" s="74"/>
      <c r="F675" s="19"/>
      <c r="H675" s="119"/>
      <c r="I675" s="75"/>
      <c r="J675" s="75"/>
      <c r="K675" s="74"/>
      <c r="L675" s="75"/>
      <c r="M675" s="99"/>
      <c r="S675" s="74"/>
    </row>
    <row r="676" spans="4:19" ht="26.1" customHeight="1" x14ac:dyDescent="0.25">
      <c r="D676" s="74"/>
      <c r="F676" s="19"/>
      <c r="H676" s="119"/>
      <c r="I676" s="75"/>
      <c r="J676" s="75"/>
      <c r="K676" s="74"/>
      <c r="L676" s="75"/>
      <c r="M676" s="99"/>
      <c r="S676" s="74"/>
    </row>
    <row r="677" spans="4:19" ht="26.1" customHeight="1" x14ac:dyDescent="0.25">
      <c r="D677" s="74"/>
      <c r="F677" s="19"/>
      <c r="H677" s="119"/>
      <c r="I677" s="75"/>
      <c r="J677" s="75"/>
      <c r="K677" s="74"/>
      <c r="L677" s="75"/>
      <c r="M677" s="99"/>
      <c r="S677" s="74"/>
    </row>
    <row r="678" spans="4:19" ht="26.1" customHeight="1" x14ac:dyDescent="0.25">
      <c r="D678" s="74"/>
      <c r="F678" s="19"/>
      <c r="H678" s="119"/>
      <c r="I678" s="75"/>
      <c r="J678" s="75"/>
      <c r="K678" s="74"/>
      <c r="L678" s="75"/>
      <c r="M678" s="99"/>
      <c r="S678" s="74"/>
    </row>
    <row r="679" spans="4:19" ht="26.1" customHeight="1" x14ac:dyDescent="0.25">
      <c r="D679" s="74"/>
      <c r="F679" s="19"/>
      <c r="H679" s="119"/>
      <c r="I679" s="75"/>
      <c r="J679" s="75"/>
      <c r="K679" s="74"/>
      <c r="L679" s="75"/>
      <c r="M679" s="99"/>
      <c r="S679" s="74"/>
    </row>
    <row r="680" spans="4:19" ht="26.1" customHeight="1" x14ac:dyDescent="0.25">
      <c r="D680" s="74"/>
      <c r="F680" s="19"/>
      <c r="H680" s="119"/>
      <c r="I680" s="75"/>
      <c r="J680" s="75"/>
      <c r="K680" s="74"/>
      <c r="L680" s="75"/>
      <c r="M680" s="99"/>
      <c r="S680" s="74"/>
    </row>
    <row r="681" spans="4:19" ht="26.1" customHeight="1" x14ac:dyDescent="0.25">
      <c r="D681" s="74"/>
      <c r="F681" s="19"/>
      <c r="H681" s="119"/>
      <c r="I681" s="75"/>
      <c r="J681" s="75"/>
      <c r="K681" s="74"/>
      <c r="L681" s="75"/>
      <c r="M681" s="99"/>
      <c r="S681" s="74"/>
    </row>
    <row r="682" spans="4:19" ht="26.1" customHeight="1" x14ac:dyDescent="0.25">
      <c r="D682" s="74"/>
      <c r="F682" s="19"/>
      <c r="H682" s="119"/>
      <c r="I682" s="75"/>
      <c r="J682" s="75"/>
      <c r="K682" s="74"/>
      <c r="L682" s="75"/>
      <c r="M682" s="99"/>
      <c r="S682" s="74"/>
    </row>
    <row r="683" spans="4:19" ht="26.1" customHeight="1" x14ac:dyDescent="0.25">
      <c r="D683" s="74"/>
      <c r="F683" s="19"/>
      <c r="H683" s="119"/>
      <c r="I683" s="75"/>
      <c r="J683" s="75"/>
      <c r="K683" s="74"/>
      <c r="L683" s="75"/>
      <c r="M683" s="99"/>
      <c r="S683" s="74"/>
    </row>
    <row r="684" spans="4:19" ht="26.1" customHeight="1" x14ac:dyDescent="0.25">
      <c r="D684" s="74"/>
      <c r="F684" s="19"/>
      <c r="H684" s="119"/>
      <c r="I684" s="75"/>
      <c r="J684" s="75"/>
      <c r="K684" s="74"/>
      <c r="L684" s="75"/>
      <c r="M684" s="99"/>
      <c r="S684" s="74"/>
    </row>
    <row r="685" spans="4:19" ht="26.1" customHeight="1" x14ac:dyDescent="0.25">
      <c r="D685" s="74"/>
      <c r="F685" s="19"/>
      <c r="H685" s="119"/>
      <c r="I685" s="75"/>
      <c r="J685" s="75"/>
      <c r="K685" s="74"/>
      <c r="L685" s="75"/>
      <c r="M685" s="99"/>
      <c r="S685" s="74"/>
    </row>
    <row r="686" spans="4:19" ht="26.1" customHeight="1" x14ac:dyDescent="0.25">
      <c r="D686" s="74"/>
      <c r="F686" s="19"/>
      <c r="H686" s="119"/>
      <c r="I686" s="75"/>
      <c r="J686" s="75"/>
      <c r="K686" s="74"/>
      <c r="L686" s="75"/>
      <c r="M686" s="99"/>
      <c r="S686" s="74"/>
    </row>
    <row r="687" spans="4:19" ht="26.1" customHeight="1" x14ac:dyDescent="0.25">
      <c r="D687" s="74"/>
      <c r="F687" s="19"/>
      <c r="H687" s="119"/>
      <c r="I687" s="75"/>
      <c r="J687" s="75"/>
      <c r="K687" s="74"/>
      <c r="L687" s="75"/>
      <c r="M687" s="99"/>
      <c r="S687" s="74"/>
    </row>
    <row r="688" spans="4:19" ht="26.1" customHeight="1" x14ac:dyDescent="0.25">
      <c r="D688" s="74"/>
      <c r="F688" s="19"/>
      <c r="H688" s="119"/>
      <c r="I688" s="75"/>
      <c r="J688" s="75"/>
      <c r="K688" s="74"/>
      <c r="L688" s="75"/>
      <c r="M688" s="99"/>
      <c r="S688" s="74"/>
    </row>
    <row r="689" spans="4:19" ht="26.1" customHeight="1" x14ac:dyDescent="0.25">
      <c r="D689" s="74"/>
      <c r="F689" s="19"/>
      <c r="H689" s="119"/>
      <c r="I689" s="75"/>
      <c r="J689" s="75"/>
      <c r="K689" s="74"/>
      <c r="L689" s="75"/>
      <c r="M689" s="99"/>
      <c r="S689" s="74"/>
    </row>
    <row r="690" spans="4:19" ht="26.1" customHeight="1" x14ac:dyDescent="0.25">
      <c r="D690" s="74"/>
      <c r="F690" s="19"/>
      <c r="H690" s="119"/>
      <c r="I690" s="75"/>
      <c r="J690" s="75"/>
      <c r="K690" s="74"/>
      <c r="L690" s="75"/>
      <c r="M690" s="99"/>
      <c r="S690" s="74"/>
    </row>
    <row r="691" spans="4:19" ht="26.1" customHeight="1" x14ac:dyDescent="0.25">
      <c r="D691" s="74"/>
      <c r="F691" s="19"/>
      <c r="H691" s="119"/>
      <c r="I691" s="75"/>
      <c r="J691" s="75"/>
      <c r="K691" s="74"/>
      <c r="L691" s="75"/>
      <c r="M691" s="99"/>
      <c r="S691" s="74"/>
    </row>
    <row r="692" spans="4:19" ht="26.1" customHeight="1" x14ac:dyDescent="0.25">
      <c r="D692" s="74"/>
      <c r="F692" s="19"/>
      <c r="H692" s="119"/>
      <c r="I692" s="75"/>
      <c r="J692" s="75"/>
      <c r="K692" s="74"/>
      <c r="L692" s="75"/>
      <c r="M692" s="99"/>
      <c r="S692" s="74"/>
    </row>
    <row r="693" spans="4:19" ht="26.1" customHeight="1" x14ac:dyDescent="0.25">
      <c r="D693" s="74"/>
      <c r="F693" s="19"/>
      <c r="H693" s="119"/>
      <c r="I693" s="75"/>
      <c r="J693" s="75"/>
      <c r="K693" s="74"/>
      <c r="L693" s="75"/>
      <c r="M693" s="99"/>
      <c r="S693" s="74"/>
    </row>
    <row r="694" spans="4:19" ht="26.1" customHeight="1" x14ac:dyDescent="0.25">
      <c r="D694" s="74"/>
      <c r="F694" s="19"/>
      <c r="H694" s="119"/>
      <c r="I694" s="75"/>
      <c r="J694" s="75"/>
      <c r="K694" s="74"/>
      <c r="L694" s="75"/>
      <c r="M694" s="99"/>
      <c r="S694" s="74"/>
    </row>
    <row r="695" spans="4:19" ht="26.1" customHeight="1" x14ac:dyDescent="0.25">
      <c r="D695" s="74"/>
      <c r="F695" s="19"/>
      <c r="H695" s="119"/>
      <c r="I695" s="75"/>
      <c r="J695" s="75"/>
      <c r="K695" s="74"/>
      <c r="L695" s="75"/>
      <c r="M695" s="99"/>
      <c r="S695" s="74"/>
    </row>
    <row r="696" spans="4:19" ht="26.1" customHeight="1" x14ac:dyDescent="0.25">
      <c r="D696" s="74"/>
      <c r="F696" s="19"/>
      <c r="H696" s="119"/>
      <c r="I696" s="75"/>
      <c r="J696" s="75"/>
      <c r="K696" s="74"/>
      <c r="L696" s="75"/>
      <c r="M696" s="99"/>
      <c r="S696" s="74"/>
    </row>
    <row r="697" spans="4:19" ht="26.1" customHeight="1" x14ac:dyDescent="0.25">
      <c r="D697" s="74"/>
      <c r="F697" s="19"/>
      <c r="H697" s="119"/>
      <c r="I697" s="75"/>
      <c r="J697" s="75"/>
      <c r="K697" s="74"/>
      <c r="L697" s="75"/>
      <c r="M697" s="99"/>
      <c r="S697" s="74"/>
    </row>
    <row r="698" spans="4:19" ht="26.1" customHeight="1" x14ac:dyDescent="0.25">
      <c r="D698" s="74"/>
      <c r="F698" s="19"/>
      <c r="H698" s="119"/>
      <c r="I698" s="75"/>
      <c r="J698" s="75"/>
      <c r="K698" s="74"/>
      <c r="L698" s="75"/>
      <c r="M698" s="99"/>
      <c r="S698" s="74"/>
    </row>
    <row r="699" spans="4:19" ht="26.1" customHeight="1" x14ac:dyDescent="0.25">
      <c r="D699" s="74"/>
      <c r="F699" s="19"/>
      <c r="H699" s="119"/>
      <c r="I699" s="75"/>
      <c r="J699" s="75"/>
      <c r="K699" s="74"/>
      <c r="L699" s="75"/>
      <c r="M699" s="99"/>
      <c r="S699" s="74"/>
    </row>
    <row r="700" spans="4:19" ht="26.1" customHeight="1" x14ac:dyDescent="0.25">
      <c r="D700" s="74"/>
      <c r="F700" s="19"/>
      <c r="H700" s="119"/>
      <c r="I700" s="75"/>
      <c r="J700" s="75"/>
      <c r="K700" s="74"/>
      <c r="L700" s="75"/>
      <c r="M700" s="99"/>
      <c r="S700" s="74"/>
    </row>
    <row r="701" spans="4:19" ht="26.1" customHeight="1" x14ac:dyDescent="0.25">
      <c r="D701" s="74"/>
      <c r="F701" s="19"/>
      <c r="H701" s="119"/>
      <c r="I701" s="75"/>
      <c r="J701" s="75"/>
      <c r="K701" s="74"/>
      <c r="L701" s="75"/>
      <c r="M701" s="99"/>
      <c r="S701" s="74"/>
    </row>
    <row r="702" spans="4:19" ht="26.1" customHeight="1" x14ac:dyDescent="0.25">
      <c r="D702" s="74"/>
      <c r="F702" s="19"/>
      <c r="H702" s="119"/>
      <c r="I702" s="75"/>
      <c r="J702" s="75"/>
      <c r="K702" s="74"/>
      <c r="L702" s="75"/>
      <c r="M702" s="99"/>
      <c r="S702" s="74"/>
    </row>
    <row r="703" spans="4:19" ht="26.1" customHeight="1" x14ac:dyDescent="0.25">
      <c r="D703" s="74"/>
      <c r="F703" s="19"/>
      <c r="H703" s="119"/>
      <c r="I703" s="75"/>
      <c r="J703" s="75"/>
      <c r="K703" s="74"/>
      <c r="L703" s="75"/>
      <c r="M703" s="99"/>
      <c r="S703" s="74"/>
    </row>
    <row r="704" spans="4:19" ht="26.1" customHeight="1" x14ac:dyDescent="0.25">
      <c r="D704" s="74"/>
      <c r="F704" s="19"/>
      <c r="H704" s="119"/>
      <c r="I704" s="75"/>
      <c r="J704" s="75"/>
      <c r="K704" s="74"/>
      <c r="L704" s="75"/>
      <c r="M704" s="99"/>
      <c r="S704" s="74"/>
    </row>
    <row r="705" spans="4:19" ht="26.1" customHeight="1" x14ac:dyDescent="0.25">
      <c r="D705" s="74"/>
      <c r="F705" s="19"/>
      <c r="H705" s="119"/>
      <c r="I705" s="75"/>
      <c r="J705" s="75"/>
      <c r="K705" s="74"/>
      <c r="L705" s="75"/>
      <c r="M705" s="99"/>
      <c r="S705" s="74"/>
    </row>
    <row r="706" spans="4:19" ht="26.1" customHeight="1" x14ac:dyDescent="0.25">
      <c r="D706" s="74"/>
      <c r="F706" s="19"/>
      <c r="H706" s="119"/>
      <c r="I706" s="75"/>
      <c r="J706" s="75"/>
      <c r="K706" s="74"/>
      <c r="L706" s="75"/>
      <c r="M706" s="99"/>
      <c r="S706" s="74"/>
    </row>
    <row r="707" spans="4:19" ht="26.1" customHeight="1" x14ac:dyDescent="0.25">
      <c r="D707" s="74"/>
      <c r="F707" s="19"/>
      <c r="H707" s="119"/>
      <c r="I707" s="75"/>
      <c r="J707" s="75"/>
      <c r="K707" s="74"/>
      <c r="L707" s="75"/>
      <c r="M707" s="99"/>
      <c r="S707" s="74"/>
    </row>
    <row r="708" spans="4:19" ht="26.1" customHeight="1" x14ac:dyDescent="0.25">
      <c r="D708" s="74"/>
      <c r="F708" s="19"/>
      <c r="H708" s="119"/>
      <c r="I708" s="75"/>
      <c r="J708" s="75"/>
      <c r="K708" s="74"/>
      <c r="L708" s="75"/>
      <c r="M708" s="99"/>
      <c r="S708" s="74"/>
    </row>
    <row r="709" spans="4:19" ht="26.1" customHeight="1" x14ac:dyDescent="0.25">
      <c r="D709" s="74"/>
      <c r="F709" s="19"/>
      <c r="H709" s="119"/>
      <c r="I709" s="75"/>
      <c r="J709" s="75"/>
      <c r="K709" s="74"/>
      <c r="L709" s="75"/>
      <c r="M709" s="99"/>
      <c r="S709" s="74"/>
    </row>
    <row r="710" spans="4:19" ht="26.1" customHeight="1" x14ac:dyDescent="0.25">
      <c r="D710" s="74"/>
      <c r="F710" s="19"/>
      <c r="H710" s="119"/>
      <c r="I710" s="75"/>
      <c r="J710" s="75"/>
      <c r="K710" s="74"/>
      <c r="L710" s="75"/>
      <c r="M710" s="99"/>
      <c r="S710" s="74"/>
    </row>
    <row r="711" spans="4:19" ht="26.1" customHeight="1" x14ac:dyDescent="0.25">
      <c r="D711" s="74"/>
      <c r="F711" s="19"/>
      <c r="H711" s="119"/>
      <c r="I711" s="75"/>
      <c r="J711" s="75"/>
      <c r="K711" s="74"/>
      <c r="L711" s="75"/>
      <c r="M711" s="99"/>
      <c r="S711" s="74"/>
    </row>
    <row r="712" spans="4:19" ht="26.1" customHeight="1" x14ac:dyDescent="0.25">
      <c r="D712" s="74"/>
      <c r="F712" s="19"/>
      <c r="H712" s="119"/>
      <c r="I712" s="75"/>
      <c r="J712" s="75"/>
      <c r="K712" s="74"/>
      <c r="L712" s="75"/>
      <c r="M712" s="99"/>
      <c r="S712" s="74"/>
    </row>
    <row r="713" spans="4:19" ht="26.1" customHeight="1" x14ac:dyDescent="0.25">
      <c r="D713" s="74"/>
      <c r="F713" s="19"/>
      <c r="H713" s="119"/>
      <c r="I713" s="75"/>
      <c r="J713" s="75"/>
      <c r="K713" s="74"/>
      <c r="L713" s="75"/>
      <c r="M713" s="99"/>
      <c r="S713" s="74"/>
    </row>
    <row r="714" spans="4:19" ht="26.1" customHeight="1" x14ac:dyDescent="0.25">
      <c r="D714" s="74"/>
      <c r="F714" s="19"/>
      <c r="H714" s="119"/>
      <c r="I714" s="75"/>
      <c r="J714" s="75"/>
      <c r="K714" s="74"/>
      <c r="L714" s="75"/>
      <c r="M714" s="99"/>
      <c r="S714" s="74"/>
    </row>
    <row r="715" spans="4:19" ht="26.1" customHeight="1" x14ac:dyDescent="0.25">
      <c r="D715" s="74"/>
      <c r="F715" s="19"/>
      <c r="H715" s="119"/>
      <c r="I715" s="75"/>
      <c r="J715" s="75"/>
      <c r="K715" s="74"/>
      <c r="L715" s="75"/>
      <c r="M715" s="99"/>
      <c r="S715" s="74"/>
    </row>
    <row r="716" spans="4:19" ht="26.1" customHeight="1" x14ac:dyDescent="0.25">
      <c r="D716" s="74"/>
      <c r="F716" s="19"/>
      <c r="H716" s="119"/>
      <c r="I716" s="75"/>
      <c r="J716" s="75"/>
      <c r="K716" s="74"/>
      <c r="L716" s="75"/>
      <c r="M716" s="99"/>
      <c r="S716" s="74"/>
    </row>
    <row r="717" spans="4:19" ht="26.1" customHeight="1" x14ac:dyDescent="0.25">
      <c r="D717" s="74"/>
      <c r="F717" s="19"/>
      <c r="H717" s="119"/>
      <c r="I717" s="75"/>
      <c r="J717" s="75"/>
      <c r="K717" s="74"/>
      <c r="L717" s="75"/>
      <c r="M717" s="99"/>
      <c r="S717" s="74"/>
    </row>
    <row r="718" spans="4:19" ht="26.1" customHeight="1" x14ac:dyDescent="0.25">
      <c r="D718" s="74"/>
      <c r="F718" s="19"/>
      <c r="H718" s="119"/>
      <c r="I718" s="75"/>
      <c r="J718" s="75"/>
      <c r="K718" s="74"/>
      <c r="L718" s="75"/>
      <c r="M718" s="99"/>
      <c r="S718" s="74"/>
    </row>
    <row r="719" spans="4:19" ht="26.1" customHeight="1" x14ac:dyDescent="0.25">
      <c r="D719" s="74"/>
      <c r="F719" s="19"/>
      <c r="H719" s="119"/>
      <c r="I719" s="75"/>
      <c r="J719" s="75"/>
      <c r="K719" s="74"/>
      <c r="L719" s="75"/>
      <c r="M719" s="99"/>
      <c r="S719" s="74"/>
    </row>
    <row r="720" spans="4:19" ht="26.1" customHeight="1" x14ac:dyDescent="0.25">
      <c r="D720" s="74"/>
      <c r="F720" s="19"/>
      <c r="H720" s="119"/>
      <c r="I720" s="75"/>
      <c r="J720" s="75"/>
      <c r="K720" s="74"/>
      <c r="L720" s="75"/>
      <c r="M720" s="99"/>
      <c r="S720" s="74"/>
    </row>
    <row r="721" spans="4:19" ht="26.1" customHeight="1" x14ac:dyDescent="0.25">
      <c r="D721" s="74"/>
      <c r="F721" s="19"/>
      <c r="H721" s="119"/>
      <c r="I721" s="75"/>
      <c r="J721" s="75"/>
      <c r="K721" s="74"/>
      <c r="L721" s="75"/>
      <c r="M721" s="99"/>
      <c r="S721" s="74"/>
    </row>
    <row r="722" spans="4:19" ht="26.1" customHeight="1" x14ac:dyDescent="0.25">
      <c r="D722" s="74"/>
      <c r="F722" s="19"/>
      <c r="H722" s="119"/>
      <c r="I722" s="75"/>
      <c r="J722" s="75"/>
      <c r="K722" s="74"/>
      <c r="L722" s="75"/>
      <c r="M722" s="99"/>
      <c r="S722" s="74"/>
    </row>
    <row r="723" spans="4:19" ht="26.1" customHeight="1" x14ac:dyDescent="0.25">
      <c r="D723" s="74"/>
      <c r="F723" s="19"/>
      <c r="H723" s="119"/>
      <c r="I723" s="75"/>
      <c r="J723" s="75"/>
      <c r="K723" s="74"/>
      <c r="L723" s="75"/>
      <c r="M723" s="99"/>
      <c r="S723" s="74"/>
    </row>
    <row r="724" spans="4:19" ht="26.1" customHeight="1" x14ac:dyDescent="0.25">
      <c r="D724" s="74"/>
      <c r="F724" s="19"/>
      <c r="H724" s="119"/>
      <c r="I724" s="75"/>
      <c r="J724" s="75"/>
      <c r="K724" s="74"/>
      <c r="L724" s="75"/>
      <c r="M724" s="99"/>
      <c r="S724" s="74"/>
    </row>
    <row r="725" spans="4:19" ht="26.1" customHeight="1" x14ac:dyDescent="0.25">
      <c r="D725" s="74"/>
      <c r="F725" s="19"/>
      <c r="H725" s="119"/>
      <c r="I725" s="75"/>
      <c r="J725" s="75"/>
      <c r="K725" s="74"/>
      <c r="L725" s="75"/>
      <c r="M725" s="99"/>
      <c r="S725" s="74"/>
    </row>
    <row r="726" spans="4:19" ht="26.1" customHeight="1" x14ac:dyDescent="0.25">
      <c r="D726" s="74"/>
      <c r="F726" s="19"/>
      <c r="H726" s="119"/>
      <c r="I726" s="75"/>
      <c r="J726" s="75"/>
      <c r="K726" s="74"/>
      <c r="L726" s="75"/>
      <c r="M726" s="99"/>
      <c r="S726" s="74"/>
    </row>
    <row r="727" spans="4:19" ht="26.1" customHeight="1" x14ac:dyDescent="0.25">
      <c r="D727" s="74"/>
      <c r="F727" s="19"/>
      <c r="H727" s="119"/>
      <c r="I727" s="75"/>
      <c r="J727" s="75"/>
      <c r="K727" s="74"/>
      <c r="L727" s="75"/>
      <c r="M727" s="99"/>
      <c r="S727" s="74"/>
    </row>
    <row r="728" spans="4:19" ht="26.1" customHeight="1" x14ac:dyDescent="0.25">
      <c r="D728" s="74"/>
      <c r="F728" s="19"/>
      <c r="H728" s="119"/>
      <c r="I728" s="75"/>
      <c r="J728" s="75"/>
      <c r="K728" s="74"/>
      <c r="L728" s="75"/>
      <c r="M728" s="99"/>
      <c r="S728" s="74"/>
    </row>
    <row r="729" spans="4:19" ht="26.1" customHeight="1" x14ac:dyDescent="0.25">
      <c r="D729" s="74"/>
      <c r="F729" s="19"/>
      <c r="H729" s="119"/>
      <c r="I729" s="75"/>
      <c r="J729" s="75"/>
      <c r="K729" s="74"/>
      <c r="L729" s="75"/>
      <c r="M729" s="99"/>
      <c r="S729" s="74"/>
    </row>
    <row r="730" spans="4:19" ht="26.1" customHeight="1" x14ac:dyDescent="0.25">
      <c r="D730" s="74"/>
      <c r="F730" s="19"/>
      <c r="H730" s="119"/>
      <c r="I730" s="75"/>
      <c r="J730" s="75"/>
      <c r="K730" s="74"/>
      <c r="L730" s="75"/>
      <c r="M730" s="99"/>
      <c r="S730" s="74"/>
    </row>
    <row r="731" spans="4:19" ht="26.1" customHeight="1" x14ac:dyDescent="0.25">
      <c r="D731" s="74"/>
      <c r="F731" s="19"/>
      <c r="H731" s="119"/>
      <c r="I731" s="75"/>
      <c r="J731" s="75"/>
      <c r="K731" s="74"/>
      <c r="L731" s="75"/>
      <c r="M731" s="99"/>
      <c r="S731" s="74"/>
    </row>
    <row r="732" spans="4:19" ht="26.1" customHeight="1" x14ac:dyDescent="0.25">
      <c r="D732" s="74"/>
      <c r="F732" s="19"/>
      <c r="H732" s="119"/>
      <c r="I732" s="75"/>
      <c r="J732" s="75"/>
      <c r="K732" s="74"/>
      <c r="L732" s="75"/>
      <c r="M732" s="99"/>
      <c r="S732" s="74"/>
    </row>
    <row r="733" spans="4:19" ht="26.1" customHeight="1" x14ac:dyDescent="0.25">
      <c r="D733" s="74"/>
      <c r="F733" s="19"/>
      <c r="H733" s="119"/>
      <c r="I733" s="75"/>
      <c r="J733" s="75"/>
      <c r="K733" s="74"/>
      <c r="L733" s="75"/>
      <c r="M733" s="99"/>
      <c r="S733" s="74"/>
    </row>
    <row r="734" spans="4:19" ht="26.1" customHeight="1" x14ac:dyDescent="0.25">
      <c r="D734" s="74"/>
      <c r="F734" s="19"/>
      <c r="H734" s="119"/>
      <c r="I734" s="75"/>
      <c r="J734" s="75"/>
      <c r="K734" s="74"/>
      <c r="L734" s="75"/>
      <c r="M734" s="99"/>
      <c r="S734" s="74"/>
    </row>
    <row r="735" spans="4:19" ht="26.1" customHeight="1" x14ac:dyDescent="0.25">
      <c r="D735" s="74"/>
      <c r="F735" s="19"/>
      <c r="H735" s="119"/>
      <c r="I735" s="75"/>
      <c r="J735" s="75"/>
      <c r="K735" s="74"/>
      <c r="L735" s="75"/>
      <c r="M735" s="99"/>
      <c r="S735" s="74"/>
    </row>
    <row r="736" spans="4:19" ht="26.1" customHeight="1" x14ac:dyDescent="0.25">
      <c r="D736" s="74"/>
      <c r="F736" s="19"/>
      <c r="H736" s="119"/>
      <c r="I736" s="75"/>
      <c r="J736" s="75"/>
      <c r="K736" s="74"/>
      <c r="L736" s="75"/>
      <c r="M736" s="99"/>
      <c r="S736" s="74"/>
    </row>
    <row r="737" spans="4:19" ht="26.1" customHeight="1" x14ac:dyDescent="0.25">
      <c r="D737" s="74"/>
      <c r="F737" s="19"/>
      <c r="H737" s="119"/>
      <c r="I737" s="75"/>
      <c r="J737" s="75"/>
      <c r="K737" s="74"/>
      <c r="L737" s="75"/>
      <c r="M737" s="99"/>
      <c r="S737" s="74"/>
    </row>
    <row r="738" spans="4:19" ht="26.1" customHeight="1" x14ac:dyDescent="0.25">
      <c r="D738" s="74"/>
      <c r="F738" s="19"/>
      <c r="H738" s="119"/>
      <c r="I738" s="75"/>
      <c r="J738" s="75"/>
      <c r="K738" s="74"/>
      <c r="L738" s="75"/>
      <c r="M738" s="99"/>
      <c r="S738" s="74"/>
    </row>
    <row r="739" spans="4:19" ht="26.1" customHeight="1" x14ac:dyDescent="0.25">
      <c r="D739" s="74"/>
      <c r="F739" s="19"/>
      <c r="H739" s="119"/>
      <c r="I739" s="75"/>
      <c r="J739" s="75"/>
      <c r="K739" s="74"/>
      <c r="L739" s="75"/>
      <c r="M739" s="99"/>
      <c r="S739" s="74"/>
    </row>
    <row r="740" spans="4:19" ht="26.1" customHeight="1" x14ac:dyDescent="0.25">
      <c r="D740" s="74"/>
      <c r="F740" s="19"/>
      <c r="H740" s="119"/>
      <c r="I740" s="75"/>
      <c r="J740" s="75"/>
      <c r="K740" s="74"/>
      <c r="L740" s="75"/>
      <c r="M740" s="99"/>
      <c r="S740" s="74"/>
    </row>
    <row r="741" spans="4:19" ht="26.1" customHeight="1" x14ac:dyDescent="0.25">
      <c r="D741" s="74"/>
      <c r="F741" s="19"/>
      <c r="H741" s="119"/>
      <c r="I741" s="75"/>
      <c r="J741" s="75"/>
      <c r="K741" s="74"/>
      <c r="L741" s="75"/>
      <c r="M741" s="99"/>
      <c r="S741" s="74"/>
    </row>
    <row r="742" spans="4:19" ht="26.1" customHeight="1" x14ac:dyDescent="0.25">
      <c r="D742" s="74"/>
      <c r="F742" s="19"/>
      <c r="H742" s="119"/>
      <c r="I742" s="75"/>
      <c r="J742" s="75"/>
      <c r="K742" s="74"/>
      <c r="L742" s="75"/>
      <c r="M742" s="99"/>
      <c r="S742" s="74"/>
    </row>
    <row r="743" spans="4:19" ht="26.1" customHeight="1" x14ac:dyDescent="0.25">
      <c r="D743" s="74"/>
      <c r="F743" s="19"/>
      <c r="H743" s="119"/>
      <c r="I743" s="75"/>
      <c r="J743" s="75"/>
      <c r="K743" s="74"/>
      <c r="L743" s="75"/>
      <c r="M743" s="99"/>
      <c r="S743" s="74"/>
    </row>
    <row r="744" spans="4:19" ht="26.1" customHeight="1" x14ac:dyDescent="0.25">
      <c r="D744" s="74"/>
      <c r="F744" s="19"/>
      <c r="H744" s="119"/>
      <c r="I744" s="75"/>
      <c r="J744" s="75"/>
      <c r="K744" s="74"/>
      <c r="L744" s="75"/>
      <c r="M744" s="99"/>
      <c r="S744" s="74"/>
    </row>
    <row r="745" spans="4:19" ht="26.1" customHeight="1" x14ac:dyDescent="0.25">
      <c r="D745" s="74"/>
      <c r="F745" s="19"/>
      <c r="H745" s="119"/>
      <c r="I745" s="75"/>
      <c r="J745" s="75"/>
      <c r="K745" s="74"/>
      <c r="L745" s="75"/>
      <c r="M745" s="99"/>
      <c r="S745" s="74"/>
    </row>
    <row r="746" spans="4:19" ht="26.1" customHeight="1" x14ac:dyDescent="0.25">
      <c r="D746" s="74"/>
      <c r="F746" s="19"/>
      <c r="H746" s="119"/>
      <c r="I746" s="75"/>
      <c r="J746" s="75"/>
      <c r="K746" s="74"/>
      <c r="L746" s="75"/>
      <c r="M746" s="99"/>
      <c r="S746" s="74"/>
    </row>
    <row r="747" spans="4:19" ht="26.1" customHeight="1" x14ac:dyDescent="0.25">
      <c r="D747" s="74"/>
      <c r="F747" s="19"/>
      <c r="H747" s="119"/>
      <c r="I747" s="75"/>
      <c r="J747" s="75"/>
      <c r="K747" s="74"/>
      <c r="L747" s="75"/>
      <c r="M747" s="99"/>
      <c r="S747" s="74"/>
    </row>
    <row r="748" spans="4:19" ht="26.1" customHeight="1" x14ac:dyDescent="0.25">
      <c r="D748" s="74"/>
      <c r="F748" s="19"/>
      <c r="H748" s="119"/>
      <c r="I748" s="75"/>
      <c r="J748" s="75"/>
      <c r="K748" s="74"/>
      <c r="L748" s="75"/>
      <c r="M748" s="99"/>
      <c r="S748" s="74"/>
    </row>
    <row r="749" spans="4:19" ht="26.1" customHeight="1" x14ac:dyDescent="0.25">
      <c r="D749" s="74"/>
      <c r="F749" s="19"/>
      <c r="H749" s="119"/>
      <c r="I749" s="75"/>
      <c r="J749" s="75"/>
      <c r="K749" s="74"/>
      <c r="L749" s="75"/>
      <c r="M749" s="99"/>
      <c r="S749" s="74"/>
    </row>
    <row r="750" spans="4:19" ht="26.1" customHeight="1" x14ac:dyDescent="0.25">
      <c r="D750" s="74"/>
      <c r="F750" s="19"/>
      <c r="H750" s="119"/>
      <c r="I750" s="75"/>
      <c r="J750" s="75"/>
      <c r="K750" s="74"/>
      <c r="L750" s="75"/>
      <c r="M750" s="99"/>
      <c r="S750" s="74"/>
    </row>
    <row r="751" spans="4:19" ht="26.1" customHeight="1" x14ac:dyDescent="0.25">
      <c r="D751" s="74"/>
      <c r="F751" s="19"/>
      <c r="H751" s="119"/>
      <c r="I751" s="75"/>
      <c r="J751" s="75"/>
      <c r="K751" s="74"/>
      <c r="L751" s="75"/>
      <c r="M751" s="99"/>
      <c r="S751" s="74"/>
    </row>
    <row r="752" spans="4:19" ht="26.1" customHeight="1" x14ac:dyDescent="0.25">
      <c r="D752" s="74"/>
      <c r="F752" s="19"/>
      <c r="H752" s="119"/>
      <c r="I752" s="75"/>
      <c r="J752" s="75"/>
      <c r="K752" s="74"/>
      <c r="L752" s="75"/>
      <c r="M752" s="99"/>
      <c r="S752" s="74"/>
    </row>
    <row r="753" spans="4:19" ht="26.1" customHeight="1" x14ac:dyDescent="0.25">
      <c r="D753" s="74"/>
      <c r="F753" s="19"/>
      <c r="H753" s="119"/>
      <c r="I753" s="75"/>
      <c r="J753" s="75"/>
      <c r="K753" s="74"/>
      <c r="L753" s="75"/>
      <c r="M753" s="99"/>
      <c r="S753" s="74"/>
    </row>
    <row r="754" spans="4:19" ht="26.1" customHeight="1" x14ac:dyDescent="0.25">
      <c r="D754" s="74"/>
      <c r="F754" s="19"/>
      <c r="H754" s="119"/>
      <c r="I754" s="75"/>
      <c r="J754" s="75"/>
      <c r="K754" s="74"/>
      <c r="L754" s="75"/>
      <c r="M754" s="99"/>
      <c r="S754" s="74"/>
    </row>
    <row r="755" spans="4:19" ht="26.1" customHeight="1" x14ac:dyDescent="0.25">
      <c r="D755" s="74"/>
      <c r="F755" s="19"/>
      <c r="H755" s="119"/>
      <c r="I755" s="75"/>
      <c r="J755" s="75"/>
      <c r="K755" s="74"/>
      <c r="L755" s="75"/>
      <c r="M755" s="99"/>
      <c r="S755" s="74"/>
    </row>
    <row r="756" spans="4:19" ht="26.1" customHeight="1" x14ac:dyDescent="0.25">
      <c r="D756" s="74"/>
      <c r="F756" s="19"/>
      <c r="H756" s="119"/>
      <c r="I756" s="75"/>
      <c r="J756" s="75"/>
      <c r="K756" s="74"/>
      <c r="L756" s="75"/>
      <c r="M756" s="99"/>
      <c r="S756" s="74"/>
    </row>
    <row r="757" spans="4:19" ht="26.1" customHeight="1" x14ac:dyDescent="0.25">
      <c r="D757" s="74"/>
      <c r="F757" s="19"/>
      <c r="H757" s="119"/>
      <c r="I757" s="75"/>
      <c r="J757" s="75"/>
      <c r="K757" s="74"/>
      <c r="L757" s="75"/>
      <c r="M757" s="99"/>
      <c r="S757" s="74"/>
    </row>
    <row r="758" spans="4:19" ht="26.1" customHeight="1" x14ac:dyDescent="0.25">
      <c r="D758" s="74"/>
      <c r="F758" s="19"/>
      <c r="H758" s="119"/>
      <c r="I758" s="75"/>
      <c r="J758" s="75"/>
      <c r="K758" s="74"/>
      <c r="L758" s="75"/>
      <c r="M758" s="99"/>
      <c r="S758" s="74"/>
    </row>
    <row r="759" spans="4:19" ht="26.1" customHeight="1" x14ac:dyDescent="0.25">
      <c r="D759" s="74"/>
      <c r="F759" s="19"/>
      <c r="H759" s="119"/>
      <c r="I759" s="75"/>
      <c r="J759" s="75"/>
      <c r="K759" s="74"/>
      <c r="L759" s="75"/>
      <c r="M759" s="99"/>
      <c r="S759" s="74"/>
    </row>
    <row r="760" spans="4:19" ht="26.1" customHeight="1" x14ac:dyDescent="0.25">
      <c r="D760" s="74"/>
      <c r="F760" s="19"/>
      <c r="H760" s="119"/>
      <c r="I760" s="75"/>
      <c r="J760" s="75"/>
      <c r="K760" s="74"/>
      <c r="L760" s="75"/>
      <c r="M760" s="99"/>
      <c r="S760" s="74"/>
    </row>
    <row r="761" spans="4:19" ht="26.1" customHeight="1" x14ac:dyDescent="0.25">
      <c r="D761" s="74"/>
      <c r="F761" s="19"/>
      <c r="H761" s="119"/>
      <c r="I761" s="75"/>
      <c r="J761" s="75"/>
      <c r="K761" s="74"/>
      <c r="L761" s="75"/>
      <c r="M761" s="99"/>
      <c r="S761" s="74"/>
    </row>
    <row r="762" spans="4:19" ht="26.1" customHeight="1" x14ac:dyDescent="0.25">
      <c r="D762" s="74"/>
      <c r="F762" s="19"/>
      <c r="H762" s="119"/>
      <c r="I762" s="75"/>
      <c r="J762" s="75"/>
      <c r="K762" s="74"/>
      <c r="L762" s="75"/>
      <c r="M762" s="99"/>
      <c r="S762" s="74"/>
    </row>
    <row r="763" spans="4:19" ht="26.1" customHeight="1" x14ac:dyDescent="0.25">
      <c r="D763" s="74"/>
      <c r="F763" s="19"/>
      <c r="H763" s="119"/>
      <c r="I763" s="75"/>
      <c r="J763" s="75"/>
      <c r="K763" s="74"/>
      <c r="L763" s="75"/>
      <c r="M763" s="99"/>
      <c r="S763" s="74"/>
    </row>
    <row r="764" spans="4:19" ht="26.1" customHeight="1" x14ac:dyDescent="0.25">
      <c r="D764" s="74"/>
      <c r="F764" s="19"/>
      <c r="H764" s="119"/>
      <c r="I764" s="75"/>
      <c r="J764" s="75"/>
      <c r="K764" s="74"/>
      <c r="L764" s="75"/>
      <c r="M764" s="99"/>
      <c r="S764" s="74"/>
    </row>
    <row r="765" spans="4:19" ht="26.1" customHeight="1" x14ac:dyDescent="0.25">
      <c r="D765" s="74"/>
      <c r="F765" s="19"/>
      <c r="H765" s="119"/>
      <c r="I765" s="75"/>
      <c r="J765" s="75"/>
      <c r="K765" s="74"/>
      <c r="L765" s="75"/>
      <c r="M765" s="99"/>
      <c r="S765" s="74"/>
    </row>
    <row r="766" spans="4:19" ht="26.1" customHeight="1" x14ac:dyDescent="0.25">
      <c r="D766" s="74"/>
      <c r="F766" s="19"/>
      <c r="H766" s="119"/>
      <c r="I766" s="75"/>
      <c r="J766" s="75"/>
      <c r="K766" s="74"/>
      <c r="L766" s="75"/>
      <c r="M766" s="99"/>
      <c r="S766" s="74"/>
    </row>
    <row r="767" spans="4:19" ht="26.1" customHeight="1" x14ac:dyDescent="0.25">
      <c r="D767" s="74"/>
      <c r="F767" s="19"/>
      <c r="H767" s="119"/>
      <c r="I767" s="75"/>
      <c r="J767" s="75"/>
      <c r="K767" s="74"/>
      <c r="L767" s="75"/>
      <c r="M767" s="99"/>
      <c r="S767" s="74"/>
    </row>
    <row r="768" spans="4:19" ht="26.1" customHeight="1" x14ac:dyDescent="0.25">
      <c r="D768" s="74"/>
      <c r="F768" s="19"/>
      <c r="H768" s="119"/>
      <c r="I768" s="75"/>
      <c r="J768" s="75"/>
      <c r="K768" s="74"/>
      <c r="L768" s="75"/>
      <c r="M768" s="99"/>
      <c r="S768" s="74"/>
    </row>
    <row r="769" spans="4:19" ht="26.1" customHeight="1" x14ac:dyDescent="0.25">
      <c r="D769" s="74"/>
      <c r="F769" s="19"/>
      <c r="H769" s="119"/>
      <c r="I769" s="75"/>
      <c r="J769" s="75"/>
      <c r="K769" s="74"/>
      <c r="L769" s="75"/>
      <c r="M769" s="99"/>
      <c r="S769" s="74"/>
    </row>
    <row r="770" spans="4:19" ht="26.1" customHeight="1" x14ac:dyDescent="0.25">
      <c r="D770" s="74"/>
      <c r="F770" s="19"/>
      <c r="H770" s="119"/>
      <c r="I770" s="75"/>
      <c r="J770" s="75"/>
      <c r="K770" s="74"/>
      <c r="L770" s="75"/>
      <c r="M770" s="99"/>
      <c r="S770" s="74"/>
    </row>
    <row r="771" spans="4:19" ht="26.1" customHeight="1" x14ac:dyDescent="0.25">
      <c r="D771" s="74"/>
      <c r="F771" s="19"/>
      <c r="H771" s="119"/>
      <c r="I771" s="75"/>
      <c r="J771" s="75"/>
      <c r="K771" s="74"/>
      <c r="L771" s="75"/>
      <c r="M771" s="99"/>
      <c r="S771" s="74"/>
    </row>
    <row r="772" spans="4:19" ht="26.1" customHeight="1" x14ac:dyDescent="0.25">
      <c r="D772" s="74"/>
      <c r="F772" s="19"/>
      <c r="H772" s="119"/>
      <c r="I772" s="75"/>
      <c r="J772" s="75"/>
      <c r="K772" s="74"/>
      <c r="L772" s="75"/>
      <c r="M772" s="99"/>
      <c r="S772" s="74"/>
    </row>
    <row r="773" spans="4:19" ht="26.1" customHeight="1" x14ac:dyDescent="0.25">
      <c r="D773" s="74"/>
      <c r="F773" s="19"/>
      <c r="H773" s="119"/>
      <c r="I773" s="75"/>
      <c r="J773" s="75"/>
      <c r="K773" s="74"/>
      <c r="L773" s="75"/>
      <c r="M773" s="99"/>
      <c r="S773" s="74"/>
    </row>
    <row r="774" spans="4:19" ht="26.1" customHeight="1" x14ac:dyDescent="0.25">
      <c r="D774" s="74"/>
      <c r="F774" s="19"/>
      <c r="H774" s="119"/>
      <c r="I774" s="75"/>
      <c r="J774" s="75"/>
      <c r="K774" s="74"/>
      <c r="L774" s="75"/>
      <c r="M774" s="99"/>
      <c r="S774" s="74"/>
    </row>
    <row r="775" spans="4:19" ht="26.1" customHeight="1" x14ac:dyDescent="0.25">
      <c r="D775" s="74"/>
      <c r="F775" s="19"/>
      <c r="H775" s="119"/>
      <c r="I775" s="75"/>
      <c r="J775" s="75"/>
      <c r="K775" s="74"/>
      <c r="L775" s="75"/>
      <c r="M775" s="99"/>
      <c r="S775" s="74"/>
    </row>
    <row r="776" spans="4:19" ht="26.1" customHeight="1" x14ac:dyDescent="0.25">
      <c r="D776" s="74"/>
      <c r="F776" s="19"/>
      <c r="H776" s="119"/>
      <c r="I776" s="75"/>
      <c r="J776" s="75"/>
      <c r="K776" s="74"/>
      <c r="L776" s="75"/>
      <c r="M776" s="99"/>
      <c r="S776" s="74"/>
    </row>
    <row r="777" spans="4:19" ht="26.1" customHeight="1" x14ac:dyDescent="0.25">
      <c r="D777" s="74"/>
      <c r="F777" s="19"/>
      <c r="H777" s="119"/>
      <c r="I777" s="75"/>
      <c r="J777" s="75"/>
      <c r="K777" s="74"/>
      <c r="L777" s="75"/>
      <c r="M777" s="99"/>
      <c r="S777" s="74"/>
    </row>
    <row r="778" spans="4:19" ht="26.1" customHeight="1" x14ac:dyDescent="0.25">
      <c r="D778" s="74"/>
      <c r="F778" s="19"/>
      <c r="H778" s="119"/>
      <c r="I778" s="75"/>
      <c r="J778" s="75"/>
      <c r="K778" s="74"/>
      <c r="L778" s="75"/>
      <c r="M778" s="99"/>
      <c r="S778" s="74"/>
    </row>
    <row r="779" spans="4:19" ht="26.1" customHeight="1" x14ac:dyDescent="0.25">
      <c r="D779" s="74"/>
      <c r="F779" s="19"/>
      <c r="H779" s="119"/>
      <c r="I779" s="75"/>
      <c r="J779" s="75"/>
      <c r="K779" s="74"/>
      <c r="L779" s="75"/>
      <c r="M779" s="99"/>
      <c r="S779" s="74"/>
    </row>
    <row r="780" spans="4:19" ht="26.1" customHeight="1" x14ac:dyDescent="0.25">
      <c r="D780" s="74"/>
      <c r="F780" s="19"/>
      <c r="H780" s="119"/>
      <c r="I780" s="75"/>
      <c r="J780" s="75"/>
      <c r="K780" s="74"/>
      <c r="L780" s="75"/>
      <c r="M780" s="99"/>
      <c r="S780" s="74"/>
    </row>
    <row r="781" spans="4:19" ht="26.1" customHeight="1" x14ac:dyDescent="0.25">
      <c r="D781" s="74"/>
      <c r="F781" s="19"/>
      <c r="H781" s="119"/>
      <c r="I781" s="75"/>
      <c r="J781" s="75"/>
      <c r="K781" s="74"/>
      <c r="L781" s="75"/>
      <c r="M781" s="99"/>
      <c r="S781" s="74"/>
    </row>
    <row r="782" spans="4:19" ht="26.1" customHeight="1" x14ac:dyDescent="0.25">
      <c r="D782" s="74"/>
      <c r="F782" s="19"/>
      <c r="H782" s="119"/>
      <c r="I782" s="75"/>
      <c r="J782" s="75"/>
      <c r="K782" s="74"/>
      <c r="L782" s="75"/>
      <c r="M782" s="99"/>
      <c r="S782" s="74"/>
    </row>
    <row r="783" spans="4:19" ht="26.1" customHeight="1" x14ac:dyDescent="0.25">
      <c r="D783" s="74"/>
      <c r="F783" s="19"/>
      <c r="H783" s="119"/>
      <c r="I783" s="75"/>
      <c r="J783" s="75"/>
      <c r="K783" s="74"/>
      <c r="L783" s="75"/>
      <c r="M783" s="99"/>
      <c r="S783" s="74"/>
    </row>
    <row r="784" spans="4:19" ht="26.1" customHeight="1" x14ac:dyDescent="0.25">
      <c r="D784" s="74"/>
      <c r="F784" s="19"/>
      <c r="H784" s="119"/>
      <c r="I784" s="75"/>
      <c r="J784" s="75"/>
      <c r="K784" s="74"/>
      <c r="L784" s="75"/>
      <c r="M784" s="99"/>
      <c r="S784" s="74"/>
    </row>
    <row r="785" spans="4:19" ht="26.1" customHeight="1" x14ac:dyDescent="0.25">
      <c r="D785" s="74"/>
      <c r="F785" s="19"/>
      <c r="H785" s="119"/>
      <c r="I785" s="75"/>
      <c r="J785" s="75"/>
      <c r="K785" s="74"/>
      <c r="L785" s="75"/>
      <c r="M785" s="99"/>
      <c r="S785" s="74"/>
    </row>
    <row r="786" spans="4:19" ht="26.1" customHeight="1" x14ac:dyDescent="0.25">
      <c r="D786" s="74"/>
      <c r="F786" s="19"/>
      <c r="H786" s="119"/>
      <c r="I786" s="75"/>
      <c r="J786" s="75"/>
      <c r="K786" s="74"/>
      <c r="L786" s="75"/>
      <c r="M786" s="99"/>
      <c r="S786" s="74"/>
    </row>
    <row r="787" spans="4:19" ht="26.1" customHeight="1" x14ac:dyDescent="0.25">
      <c r="D787" s="74"/>
      <c r="F787" s="19"/>
      <c r="H787" s="119"/>
      <c r="I787" s="75"/>
      <c r="J787" s="75"/>
      <c r="K787" s="74"/>
      <c r="L787" s="75"/>
      <c r="M787" s="99"/>
      <c r="S787" s="74"/>
    </row>
    <row r="788" spans="4:19" ht="26.1" customHeight="1" x14ac:dyDescent="0.25">
      <c r="D788" s="74"/>
      <c r="F788" s="19"/>
      <c r="H788" s="119"/>
      <c r="I788" s="75"/>
      <c r="J788" s="75"/>
      <c r="K788" s="74"/>
      <c r="L788" s="75"/>
      <c r="M788" s="99"/>
      <c r="S788" s="74"/>
    </row>
    <row r="789" spans="4:19" ht="26.1" customHeight="1" x14ac:dyDescent="0.25">
      <c r="D789" s="74"/>
      <c r="F789" s="19"/>
      <c r="H789" s="119"/>
      <c r="I789" s="75"/>
      <c r="J789" s="75"/>
      <c r="K789" s="74"/>
      <c r="L789" s="75"/>
      <c r="M789" s="99"/>
      <c r="S789" s="74"/>
    </row>
    <row r="790" spans="4:19" ht="26.1" customHeight="1" x14ac:dyDescent="0.25">
      <c r="D790" s="74"/>
      <c r="F790" s="19"/>
      <c r="H790" s="119"/>
      <c r="I790" s="75"/>
      <c r="J790" s="75"/>
      <c r="K790" s="74"/>
      <c r="L790" s="75"/>
      <c r="M790" s="99"/>
      <c r="S790" s="74"/>
    </row>
    <row r="791" spans="4:19" ht="26.1" customHeight="1" x14ac:dyDescent="0.25">
      <c r="D791" s="74"/>
      <c r="F791" s="19"/>
      <c r="H791" s="119"/>
      <c r="I791" s="75"/>
      <c r="J791" s="75"/>
      <c r="K791" s="74"/>
      <c r="L791" s="75"/>
      <c r="M791" s="99"/>
      <c r="S791" s="74"/>
    </row>
    <row r="792" spans="4:19" ht="26.1" customHeight="1" x14ac:dyDescent="0.25">
      <c r="D792" s="74"/>
      <c r="F792" s="19"/>
      <c r="H792" s="119"/>
      <c r="I792" s="75"/>
      <c r="J792" s="75"/>
      <c r="K792" s="74"/>
      <c r="L792" s="75"/>
      <c r="M792" s="99"/>
      <c r="S792" s="74"/>
    </row>
    <row r="793" spans="4:19" ht="26.1" customHeight="1" x14ac:dyDescent="0.25">
      <c r="D793" s="74"/>
      <c r="F793" s="19"/>
      <c r="H793" s="119"/>
      <c r="I793" s="75"/>
      <c r="J793" s="75"/>
      <c r="K793" s="74"/>
      <c r="L793" s="75"/>
      <c r="M793" s="99"/>
      <c r="S793" s="74"/>
    </row>
    <row r="794" spans="4:19" ht="26.1" customHeight="1" x14ac:dyDescent="0.25">
      <c r="D794" s="74"/>
      <c r="F794" s="19"/>
      <c r="H794" s="119"/>
      <c r="I794" s="75"/>
      <c r="J794" s="75"/>
      <c r="K794" s="74"/>
      <c r="L794" s="75"/>
      <c r="M794" s="99"/>
      <c r="S794" s="74"/>
    </row>
    <row r="795" spans="4:19" ht="26.1" customHeight="1" x14ac:dyDescent="0.25">
      <c r="D795" s="74"/>
      <c r="F795" s="19"/>
      <c r="H795" s="119"/>
      <c r="I795" s="75"/>
      <c r="J795" s="75"/>
      <c r="K795" s="74"/>
      <c r="L795" s="75"/>
      <c r="M795" s="99"/>
      <c r="S795" s="74"/>
    </row>
    <row r="796" spans="4:19" ht="26.1" customHeight="1" x14ac:dyDescent="0.25">
      <c r="D796" s="74"/>
      <c r="F796" s="19"/>
      <c r="H796" s="119"/>
      <c r="I796" s="75"/>
      <c r="J796" s="75"/>
      <c r="K796" s="74"/>
      <c r="L796" s="75"/>
      <c r="M796" s="99"/>
      <c r="S796" s="74"/>
    </row>
    <row r="797" spans="4:19" ht="26.1" customHeight="1" x14ac:dyDescent="0.25">
      <c r="D797" s="74"/>
      <c r="F797" s="19"/>
      <c r="H797" s="119"/>
      <c r="I797" s="75"/>
      <c r="J797" s="75"/>
      <c r="K797" s="74"/>
      <c r="L797" s="75"/>
      <c r="M797" s="99"/>
      <c r="S797" s="74"/>
    </row>
    <row r="798" spans="4:19" ht="26.1" customHeight="1" x14ac:dyDescent="0.25">
      <c r="D798" s="74"/>
      <c r="F798" s="19"/>
      <c r="H798" s="119"/>
      <c r="I798" s="75"/>
      <c r="J798" s="75"/>
      <c r="K798" s="74"/>
      <c r="L798" s="75"/>
      <c r="M798" s="99"/>
      <c r="S798" s="74"/>
    </row>
    <row r="799" spans="4:19" ht="26.1" customHeight="1" x14ac:dyDescent="0.25">
      <c r="D799" s="74"/>
      <c r="F799" s="19"/>
      <c r="H799" s="119"/>
      <c r="I799" s="75"/>
      <c r="J799" s="75"/>
      <c r="K799" s="74"/>
      <c r="L799" s="75"/>
      <c r="M799" s="99"/>
      <c r="S799" s="74"/>
    </row>
    <row r="800" spans="4:19" ht="26.1" customHeight="1" x14ac:dyDescent="0.25">
      <c r="D800" s="74"/>
      <c r="F800" s="19"/>
      <c r="H800" s="119"/>
      <c r="I800" s="75"/>
      <c r="J800" s="75"/>
      <c r="K800" s="74"/>
      <c r="L800" s="75"/>
      <c r="M800" s="99"/>
      <c r="S800" s="74"/>
    </row>
    <row r="801" spans="4:19" ht="26.1" customHeight="1" x14ac:dyDescent="0.25">
      <c r="D801" s="74"/>
      <c r="F801" s="19"/>
      <c r="H801" s="119"/>
      <c r="I801" s="75"/>
      <c r="J801" s="75"/>
      <c r="K801" s="74"/>
      <c r="L801" s="75"/>
      <c r="M801" s="99"/>
      <c r="S801" s="74"/>
    </row>
    <row r="802" spans="4:19" ht="26.1" customHeight="1" x14ac:dyDescent="0.25">
      <c r="D802" s="74"/>
      <c r="F802" s="19"/>
      <c r="H802" s="119"/>
      <c r="I802" s="75"/>
      <c r="J802" s="75"/>
      <c r="K802" s="74"/>
      <c r="L802" s="75"/>
      <c r="M802" s="99"/>
      <c r="S802" s="74"/>
    </row>
    <row r="803" spans="4:19" ht="26.1" customHeight="1" x14ac:dyDescent="0.25">
      <c r="D803" s="74"/>
      <c r="F803" s="19"/>
      <c r="H803" s="119"/>
      <c r="I803" s="75"/>
      <c r="J803" s="75"/>
      <c r="K803" s="74"/>
      <c r="L803" s="75"/>
      <c r="M803" s="99"/>
      <c r="S803" s="74"/>
    </row>
    <row r="804" spans="4:19" ht="26.1" customHeight="1" x14ac:dyDescent="0.25">
      <c r="D804" s="74"/>
      <c r="F804" s="19"/>
      <c r="H804" s="119"/>
      <c r="I804" s="75"/>
      <c r="J804" s="75"/>
      <c r="K804" s="74"/>
      <c r="L804" s="75"/>
      <c r="M804" s="99"/>
      <c r="S804" s="74"/>
    </row>
    <row r="805" spans="4:19" ht="26.1" customHeight="1" x14ac:dyDescent="0.25">
      <c r="D805" s="74"/>
      <c r="F805" s="19"/>
      <c r="H805" s="119"/>
      <c r="I805" s="75"/>
      <c r="J805" s="75"/>
      <c r="K805" s="74"/>
      <c r="L805" s="75"/>
      <c r="M805" s="99"/>
      <c r="S805" s="74"/>
    </row>
    <row r="806" spans="4:19" ht="26.1" customHeight="1" x14ac:dyDescent="0.25">
      <c r="D806" s="74"/>
      <c r="F806" s="19"/>
      <c r="H806" s="119"/>
      <c r="I806" s="75"/>
      <c r="J806" s="75"/>
      <c r="K806" s="74"/>
      <c r="L806" s="75"/>
      <c r="M806" s="99"/>
      <c r="S806" s="74"/>
    </row>
    <row r="807" spans="4:19" ht="26.1" customHeight="1" x14ac:dyDescent="0.25">
      <c r="D807" s="74"/>
      <c r="F807" s="19"/>
      <c r="H807" s="119"/>
      <c r="I807" s="75"/>
      <c r="J807" s="75"/>
      <c r="K807" s="74"/>
      <c r="L807" s="75"/>
      <c r="M807" s="99"/>
      <c r="S807" s="74"/>
    </row>
    <row r="808" spans="4:19" ht="26.1" customHeight="1" x14ac:dyDescent="0.25">
      <c r="D808" s="74"/>
      <c r="F808" s="19"/>
      <c r="H808" s="119"/>
      <c r="I808" s="75"/>
      <c r="J808" s="75"/>
      <c r="K808" s="74"/>
      <c r="L808" s="75"/>
      <c r="M808" s="99"/>
      <c r="S808" s="74"/>
    </row>
    <row r="809" spans="4:19" ht="26.1" customHeight="1" x14ac:dyDescent="0.25">
      <c r="D809" s="74"/>
      <c r="F809" s="19"/>
      <c r="H809" s="119"/>
      <c r="I809" s="75"/>
      <c r="J809" s="75"/>
      <c r="K809" s="74"/>
      <c r="L809" s="75"/>
      <c r="M809" s="99"/>
      <c r="S809" s="74"/>
    </row>
    <row r="810" spans="4:19" ht="26.1" customHeight="1" x14ac:dyDescent="0.25">
      <c r="D810" s="74"/>
      <c r="F810" s="19"/>
      <c r="H810" s="119"/>
      <c r="I810" s="75"/>
      <c r="J810" s="75"/>
      <c r="K810" s="74"/>
      <c r="L810" s="75"/>
      <c r="M810" s="99"/>
      <c r="S810" s="74"/>
    </row>
    <row r="811" spans="4:19" ht="26.1" customHeight="1" x14ac:dyDescent="0.25">
      <c r="D811" s="74"/>
      <c r="F811" s="19"/>
      <c r="H811" s="119"/>
      <c r="I811" s="75"/>
      <c r="J811" s="75"/>
      <c r="K811" s="74"/>
      <c r="L811" s="75"/>
      <c r="M811" s="99"/>
      <c r="S811" s="74"/>
    </row>
    <row r="812" spans="4:19" ht="26.1" customHeight="1" x14ac:dyDescent="0.25">
      <c r="D812" s="74"/>
      <c r="F812" s="19"/>
      <c r="H812" s="119"/>
      <c r="I812" s="75"/>
      <c r="J812" s="75"/>
      <c r="K812" s="74"/>
      <c r="L812" s="75"/>
      <c r="M812" s="99"/>
      <c r="S812" s="74"/>
    </row>
    <row r="813" spans="4:19" ht="26.1" customHeight="1" x14ac:dyDescent="0.25">
      <c r="D813" s="74"/>
      <c r="F813" s="19"/>
      <c r="H813" s="119"/>
      <c r="I813" s="75"/>
      <c r="J813" s="75"/>
      <c r="K813" s="74"/>
      <c r="L813" s="75"/>
      <c r="M813" s="99"/>
      <c r="S813" s="74"/>
    </row>
    <row r="814" spans="4:19" ht="26.1" customHeight="1" x14ac:dyDescent="0.25">
      <c r="D814" s="74"/>
      <c r="F814" s="19"/>
      <c r="H814" s="119"/>
      <c r="I814" s="75"/>
      <c r="J814" s="75"/>
      <c r="K814" s="74"/>
      <c r="L814" s="75"/>
      <c r="M814" s="99"/>
      <c r="S814" s="74"/>
    </row>
    <row r="815" spans="4:19" ht="26.1" customHeight="1" x14ac:dyDescent="0.25">
      <c r="D815" s="74"/>
      <c r="F815" s="19"/>
      <c r="H815" s="119"/>
      <c r="I815" s="75"/>
      <c r="J815" s="75"/>
      <c r="K815" s="74"/>
      <c r="L815" s="75"/>
      <c r="M815" s="99"/>
      <c r="S815" s="74"/>
    </row>
    <row r="816" spans="4:19" ht="26.1" customHeight="1" x14ac:dyDescent="0.25">
      <c r="D816" s="74"/>
      <c r="F816" s="19"/>
      <c r="H816" s="119"/>
      <c r="I816" s="75"/>
      <c r="J816" s="75"/>
      <c r="K816" s="74"/>
      <c r="L816" s="75"/>
      <c r="M816" s="99"/>
      <c r="S816" s="74"/>
    </row>
    <row r="817" spans="4:19" ht="26.1" customHeight="1" x14ac:dyDescent="0.25">
      <c r="D817" s="74"/>
      <c r="F817" s="19"/>
      <c r="H817" s="119"/>
      <c r="I817" s="75"/>
      <c r="J817" s="75"/>
      <c r="K817" s="74"/>
      <c r="L817" s="75"/>
      <c r="M817" s="99"/>
      <c r="S817" s="74"/>
    </row>
    <row r="818" spans="4:19" ht="26.1" customHeight="1" x14ac:dyDescent="0.25">
      <c r="D818" s="74"/>
      <c r="F818" s="19"/>
      <c r="H818" s="119"/>
      <c r="I818" s="75"/>
      <c r="J818" s="75"/>
      <c r="K818" s="74"/>
      <c r="L818" s="75"/>
      <c r="M818" s="99"/>
      <c r="S818" s="74"/>
    </row>
    <row r="819" spans="4:19" ht="26.1" customHeight="1" x14ac:dyDescent="0.25">
      <c r="D819" s="74"/>
      <c r="F819" s="19"/>
      <c r="H819" s="119"/>
      <c r="I819" s="75"/>
      <c r="J819" s="75"/>
      <c r="K819" s="74"/>
      <c r="L819" s="75"/>
      <c r="M819" s="99"/>
      <c r="S819" s="74"/>
    </row>
    <row r="820" spans="4:19" ht="26.1" customHeight="1" x14ac:dyDescent="0.25">
      <c r="D820" s="74"/>
      <c r="F820" s="19"/>
      <c r="H820" s="119"/>
      <c r="I820" s="75"/>
      <c r="J820" s="75"/>
      <c r="K820" s="74"/>
      <c r="L820" s="75"/>
      <c r="M820" s="99"/>
      <c r="S820" s="74"/>
    </row>
    <row r="821" spans="4:19" ht="26.1" customHeight="1" x14ac:dyDescent="0.25">
      <c r="D821" s="74"/>
      <c r="F821" s="19"/>
      <c r="H821" s="119"/>
      <c r="I821" s="75"/>
      <c r="J821" s="75"/>
      <c r="K821" s="74"/>
      <c r="L821" s="75"/>
      <c r="M821" s="99"/>
      <c r="S821" s="74"/>
    </row>
    <row r="822" spans="4:19" ht="26.1" customHeight="1" x14ac:dyDescent="0.25">
      <c r="D822" s="74"/>
      <c r="F822" s="19"/>
      <c r="H822" s="119"/>
      <c r="I822" s="75"/>
      <c r="J822" s="75"/>
      <c r="K822" s="74"/>
      <c r="L822" s="75"/>
      <c r="M822" s="99"/>
      <c r="S822" s="74"/>
    </row>
    <row r="823" spans="4:19" ht="26.1" customHeight="1" x14ac:dyDescent="0.25">
      <c r="D823" s="74"/>
      <c r="F823" s="19"/>
      <c r="H823" s="119"/>
      <c r="I823" s="75"/>
      <c r="J823" s="75"/>
      <c r="K823" s="74"/>
      <c r="L823" s="75"/>
      <c r="M823" s="99"/>
      <c r="S823" s="74"/>
    </row>
    <row r="824" spans="4:19" ht="26.1" customHeight="1" x14ac:dyDescent="0.25">
      <c r="D824" s="74"/>
      <c r="F824" s="19"/>
      <c r="H824" s="119"/>
      <c r="I824" s="75"/>
      <c r="J824" s="75"/>
      <c r="K824" s="74"/>
      <c r="L824" s="75"/>
      <c r="M824" s="99"/>
      <c r="S824" s="74"/>
    </row>
    <row r="825" spans="4:19" ht="26.1" customHeight="1" x14ac:dyDescent="0.25">
      <c r="D825" s="74"/>
      <c r="F825" s="19"/>
      <c r="H825" s="119"/>
      <c r="I825" s="75"/>
      <c r="J825" s="75"/>
      <c r="K825" s="74"/>
      <c r="L825" s="75"/>
      <c r="M825" s="99"/>
      <c r="S825" s="74"/>
    </row>
    <row r="826" spans="4:19" ht="26.1" customHeight="1" x14ac:dyDescent="0.25">
      <c r="D826" s="74"/>
      <c r="F826" s="19"/>
      <c r="H826" s="119"/>
      <c r="I826" s="75"/>
      <c r="J826" s="75"/>
      <c r="K826" s="74"/>
      <c r="L826" s="75"/>
      <c r="M826" s="99"/>
      <c r="S826" s="74"/>
    </row>
    <row r="827" spans="4:19" ht="26.1" customHeight="1" x14ac:dyDescent="0.25">
      <c r="D827" s="74"/>
      <c r="F827" s="19"/>
      <c r="H827" s="119"/>
      <c r="I827" s="75"/>
      <c r="J827" s="75"/>
      <c r="K827" s="74"/>
      <c r="L827" s="75"/>
      <c r="M827" s="99"/>
      <c r="S827" s="74"/>
    </row>
    <row r="828" spans="4:19" ht="26.1" customHeight="1" x14ac:dyDescent="0.25">
      <c r="D828" s="74"/>
      <c r="F828" s="19"/>
      <c r="H828" s="119"/>
      <c r="I828" s="75"/>
      <c r="J828" s="75"/>
      <c r="K828" s="74"/>
      <c r="L828" s="75"/>
      <c r="M828" s="99"/>
      <c r="S828" s="74"/>
    </row>
    <row r="829" spans="4:19" ht="26.1" customHeight="1" x14ac:dyDescent="0.25">
      <c r="D829" s="74"/>
      <c r="F829" s="19"/>
      <c r="H829" s="119"/>
      <c r="I829" s="75"/>
      <c r="J829" s="75"/>
      <c r="K829" s="74"/>
      <c r="L829" s="75"/>
      <c r="M829" s="99"/>
      <c r="S829" s="74"/>
    </row>
    <row r="830" spans="4:19" ht="26.1" customHeight="1" x14ac:dyDescent="0.25">
      <c r="D830" s="74"/>
      <c r="F830" s="19"/>
      <c r="H830" s="119"/>
      <c r="I830" s="75"/>
      <c r="J830" s="75"/>
      <c r="K830" s="74"/>
      <c r="L830" s="75"/>
      <c r="M830" s="99"/>
      <c r="S830" s="74"/>
    </row>
    <row r="831" spans="4:19" ht="26.1" customHeight="1" x14ac:dyDescent="0.25">
      <c r="D831" s="74"/>
      <c r="F831" s="19"/>
      <c r="H831" s="119"/>
      <c r="I831" s="75"/>
      <c r="J831" s="75"/>
      <c r="K831" s="74"/>
      <c r="L831" s="75"/>
      <c r="M831" s="99"/>
      <c r="S831" s="74"/>
    </row>
    <row r="832" spans="4:19" ht="26.1" customHeight="1" x14ac:dyDescent="0.25">
      <c r="D832" s="74"/>
      <c r="F832" s="19"/>
      <c r="H832" s="119"/>
      <c r="I832" s="75"/>
      <c r="J832" s="75"/>
      <c r="K832" s="74"/>
      <c r="L832" s="75"/>
      <c r="M832" s="99"/>
      <c r="S832" s="74"/>
    </row>
    <row r="833" spans="4:19" ht="26.1" customHeight="1" x14ac:dyDescent="0.25">
      <c r="D833" s="74"/>
      <c r="F833" s="19"/>
      <c r="H833" s="119"/>
      <c r="I833" s="75"/>
      <c r="J833" s="75"/>
      <c r="K833" s="74"/>
      <c r="L833" s="75"/>
      <c r="M833" s="99"/>
      <c r="S833" s="74"/>
    </row>
    <row r="834" spans="4:19" ht="26.1" customHeight="1" x14ac:dyDescent="0.25">
      <c r="D834" s="74"/>
      <c r="F834" s="19"/>
      <c r="H834" s="119"/>
      <c r="I834" s="75"/>
      <c r="J834" s="75"/>
      <c r="K834" s="74"/>
      <c r="L834" s="75"/>
      <c r="M834" s="99"/>
      <c r="S834" s="74"/>
    </row>
    <row r="835" spans="4:19" ht="26.1" customHeight="1" x14ac:dyDescent="0.25">
      <c r="D835" s="74"/>
      <c r="F835" s="19"/>
      <c r="H835" s="119"/>
      <c r="I835" s="75"/>
      <c r="J835" s="75"/>
      <c r="K835" s="74"/>
      <c r="L835" s="75"/>
      <c r="M835" s="99"/>
      <c r="S835" s="74"/>
    </row>
    <row r="836" spans="4:19" ht="26.1" customHeight="1" x14ac:dyDescent="0.25">
      <c r="D836" s="74"/>
      <c r="F836" s="19"/>
      <c r="H836" s="119"/>
      <c r="I836" s="75"/>
      <c r="J836" s="75"/>
      <c r="K836" s="74"/>
      <c r="L836" s="75"/>
      <c r="M836" s="99"/>
      <c r="S836" s="74"/>
    </row>
    <row r="837" spans="4:19" ht="26.1" customHeight="1" x14ac:dyDescent="0.25">
      <c r="D837" s="74"/>
      <c r="F837" s="19"/>
      <c r="H837" s="119"/>
      <c r="I837" s="75"/>
      <c r="J837" s="75"/>
      <c r="K837" s="74"/>
      <c r="L837" s="75"/>
      <c r="M837" s="99"/>
      <c r="S837" s="74"/>
    </row>
    <row r="838" spans="4:19" ht="26.1" customHeight="1" x14ac:dyDescent="0.25">
      <c r="D838" s="74"/>
      <c r="F838" s="19"/>
      <c r="H838" s="119"/>
      <c r="I838" s="75"/>
      <c r="J838" s="75"/>
      <c r="K838" s="74"/>
      <c r="L838" s="75"/>
      <c r="M838" s="99"/>
      <c r="S838" s="74"/>
    </row>
    <row r="839" spans="4:19" ht="26.1" customHeight="1" x14ac:dyDescent="0.25">
      <c r="D839" s="74"/>
      <c r="F839" s="19"/>
      <c r="H839" s="119"/>
      <c r="I839" s="75"/>
      <c r="J839" s="75"/>
      <c r="K839" s="74"/>
      <c r="L839" s="75"/>
      <c r="M839" s="99"/>
      <c r="S839" s="74"/>
    </row>
    <row r="840" spans="4:19" ht="26.1" customHeight="1" x14ac:dyDescent="0.25">
      <c r="D840" s="74"/>
      <c r="F840" s="19"/>
      <c r="H840" s="119"/>
      <c r="I840" s="75"/>
      <c r="J840" s="75"/>
      <c r="K840" s="74"/>
      <c r="L840" s="75"/>
      <c r="M840" s="99"/>
      <c r="S840" s="74"/>
    </row>
    <row r="841" spans="4:19" ht="26.1" customHeight="1" x14ac:dyDescent="0.25">
      <c r="D841" s="74"/>
      <c r="F841" s="19"/>
      <c r="H841" s="119"/>
      <c r="I841" s="75"/>
      <c r="J841" s="75"/>
      <c r="K841" s="74"/>
      <c r="L841" s="75"/>
      <c r="M841" s="99"/>
      <c r="S841" s="74"/>
    </row>
    <row r="842" spans="4:19" ht="26.1" customHeight="1" x14ac:dyDescent="0.25">
      <c r="D842" s="74"/>
      <c r="F842" s="19"/>
      <c r="H842" s="119"/>
      <c r="I842" s="75"/>
      <c r="J842" s="75"/>
      <c r="K842" s="74"/>
      <c r="L842" s="75"/>
      <c r="M842" s="99"/>
      <c r="S842" s="74"/>
    </row>
    <row r="843" spans="4:19" ht="26.1" customHeight="1" x14ac:dyDescent="0.25">
      <c r="D843" s="74"/>
      <c r="F843" s="19"/>
      <c r="H843" s="119"/>
      <c r="I843" s="75"/>
      <c r="J843" s="75"/>
      <c r="K843" s="74"/>
      <c r="L843" s="75"/>
      <c r="M843" s="99"/>
      <c r="S843" s="74"/>
    </row>
    <row r="844" spans="4:19" ht="26.1" customHeight="1" x14ac:dyDescent="0.25">
      <c r="D844" s="74"/>
      <c r="F844" s="19"/>
      <c r="H844" s="119"/>
      <c r="I844" s="75"/>
      <c r="J844" s="75"/>
      <c r="K844" s="74"/>
      <c r="L844" s="75"/>
      <c r="M844" s="99"/>
      <c r="S844" s="74"/>
    </row>
    <row r="845" spans="4:19" ht="26.1" customHeight="1" x14ac:dyDescent="0.25">
      <c r="D845" s="74"/>
      <c r="F845" s="19"/>
      <c r="H845" s="119"/>
      <c r="I845" s="75"/>
      <c r="J845" s="75"/>
      <c r="K845" s="74"/>
      <c r="L845" s="75"/>
      <c r="M845" s="99"/>
      <c r="S845" s="74"/>
    </row>
    <row r="846" spans="4:19" ht="26.1" customHeight="1" x14ac:dyDescent="0.25">
      <c r="D846" s="74"/>
      <c r="F846" s="19"/>
      <c r="H846" s="119"/>
      <c r="I846" s="75"/>
      <c r="J846" s="75"/>
      <c r="K846" s="74"/>
      <c r="L846" s="75"/>
      <c r="M846" s="99"/>
      <c r="S846" s="74"/>
    </row>
    <row r="847" spans="4:19" ht="26.1" customHeight="1" x14ac:dyDescent="0.25">
      <c r="D847" s="74"/>
      <c r="F847" s="19"/>
      <c r="H847" s="119"/>
      <c r="I847" s="75"/>
      <c r="J847" s="75"/>
      <c r="K847" s="74"/>
      <c r="L847" s="75"/>
      <c r="M847" s="99"/>
      <c r="S847" s="74"/>
    </row>
    <row r="848" spans="4:19" ht="26.1" customHeight="1" x14ac:dyDescent="0.25">
      <c r="D848" s="74"/>
      <c r="F848" s="19"/>
      <c r="H848" s="119"/>
      <c r="I848" s="75"/>
      <c r="J848" s="75"/>
      <c r="K848" s="74"/>
      <c r="L848" s="75"/>
      <c r="M848" s="99"/>
      <c r="S848" s="74"/>
    </row>
    <row r="849" spans="4:19" ht="26.1" customHeight="1" x14ac:dyDescent="0.25">
      <c r="D849" s="74"/>
      <c r="F849" s="19"/>
      <c r="H849" s="119"/>
      <c r="I849" s="75"/>
      <c r="J849" s="75"/>
      <c r="K849" s="74"/>
      <c r="L849" s="75"/>
      <c r="M849" s="99"/>
      <c r="S849" s="74"/>
    </row>
    <row r="850" spans="4:19" ht="26.1" customHeight="1" x14ac:dyDescent="0.25">
      <c r="D850" s="74"/>
      <c r="F850" s="19"/>
      <c r="H850" s="119"/>
      <c r="I850" s="75"/>
      <c r="J850" s="75"/>
      <c r="K850" s="74"/>
      <c r="L850" s="75"/>
      <c r="M850" s="99"/>
      <c r="S850" s="74"/>
    </row>
    <row r="851" spans="4:19" ht="26.1" customHeight="1" x14ac:dyDescent="0.25">
      <c r="D851" s="74"/>
      <c r="F851" s="19"/>
      <c r="H851" s="119"/>
      <c r="I851" s="75"/>
      <c r="J851" s="75"/>
      <c r="K851" s="74"/>
      <c r="L851" s="75"/>
      <c r="M851" s="99"/>
      <c r="S851" s="74"/>
    </row>
    <row r="852" spans="4:19" ht="26.1" customHeight="1" x14ac:dyDescent="0.25">
      <c r="D852" s="74"/>
      <c r="F852" s="19"/>
      <c r="H852" s="119"/>
      <c r="I852" s="75"/>
      <c r="J852" s="75"/>
      <c r="K852" s="74"/>
      <c r="L852" s="75"/>
      <c r="M852" s="99"/>
      <c r="S852" s="74"/>
    </row>
    <row r="853" spans="4:19" ht="26.1" customHeight="1" x14ac:dyDescent="0.25">
      <c r="D853" s="74"/>
      <c r="F853" s="19"/>
      <c r="H853" s="119"/>
      <c r="I853" s="75"/>
      <c r="J853" s="75"/>
      <c r="K853" s="74"/>
      <c r="L853" s="75"/>
      <c r="M853" s="99"/>
      <c r="S853" s="74"/>
    </row>
    <row r="854" spans="4:19" ht="26.1" customHeight="1" x14ac:dyDescent="0.25">
      <c r="D854" s="74"/>
      <c r="F854" s="19"/>
      <c r="H854" s="119"/>
      <c r="I854" s="75"/>
      <c r="J854" s="75"/>
      <c r="K854" s="74"/>
      <c r="L854" s="75"/>
      <c r="M854" s="99"/>
      <c r="S854" s="74"/>
    </row>
    <row r="855" spans="4:19" ht="26.1" customHeight="1" x14ac:dyDescent="0.25">
      <c r="D855" s="74"/>
      <c r="F855" s="19"/>
      <c r="H855" s="119"/>
      <c r="I855" s="75"/>
      <c r="J855" s="75"/>
      <c r="K855" s="74"/>
      <c r="L855" s="75"/>
      <c r="M855" s="99"/>
      <c r="S855" s="74"/>
    </row>
    <row r="856" spans="4:19" ht="26.1" customHeight="1" x14ac:dyDescent="0.25">
      <c r="D856" s="74"/>
      <c r="F856" s="19"/>
      <c r="H856" s="119"/>
      <c r="I856" s="75"/>
      <c r="J856" s="75"/>
      <c r="K856" s="74"/>
      <c r="L856" s="75"/>
      <c r="M856" s="99"/>
      <c r="S856" s="74"/>
    </row>
    <row r="857" spans="4:19" ht="26.1" customHeight="1" x14ac:dyDescent="0.25">
      <c r="D857" s="74"/>
      <c r="F857" s="19"/>
      <c r="H857" s="119"/>
      <c r="I857" s="75"/>
      <c r="J857" s="75"/>
      <c r="K857" s="74"/>
      <c r="L857" s="75"/>
      <c r="M857" s="99"/>
      <c r="S857" s="74"/>
    </row>
    <row r="858" spans="4:19" ht="26.1" customHeight="1" x14ac:dyDescent="0.25">
      <c r="D858" s="74"/>
      <c r="F858" s="19"/>
      <c r="H858" s="119"/>
      <c r="I858" s="75"/>
      <c r="J858" s="75"/>
      <c r="K858" s="74"/>
      <c r="L858" s="75"/>
      <c r="M858" s="99"/>
      <c r="S858" s="74"/>
    </row>
    <row r="859" spans="4:19" ht="26.1" customHeight="1" x14ac:dyDescent="0.25">
      <c r="D859" s="74"/>
      <c r="F859" s="19"/>
      <c r="H859" s="119"/>
      <c r="I859" s="75"/>
      <c r="J859" s="75"/>
      <c r="K859" s="74"/>
      <c r="L859" s="75"/>
      <c r="M859" s="99"/>
      <c r="S859" s="74"/>
    </row>
    <row r="860" spans="4:19" ht="26.1" customHeight="1" x14ac:dyDescent="0.25">
      <c r="D860" s="74"/>
      <c r="F860" s="19"/>
      <c r="H860" s="119"/>
      <c r="I860" s="75"/>
      <c r="J860" s="75"/>
      <c r="K860" s="74"/>
      <c r="L860" s="75"/>
      <c r="M860" s="99"/>
      <c r="S860" s="74"/>
    </row>
    <row r="861" spans="4:19" ht="26.1" customHeight="1" x14ac:dyDescent="0.25">
      <c r="D861" s="74"/>
      <c r="F861" s="19"/>
      <c r="H861" s="119"/>
      <c r="I861" s="75"/>
      <c r="J861" s="75"/>
      <c r="K861" s="74"/>
      <c r="L861" s="75"/>
      <c r="M861" s="99"/>
      <c r="S861" s="74"/>
    </row>
    <row r="862" spans="4:19" ht="26.1" customHeight="1" x14ac:dyDescent="0.25">
      <c r="D862" s="74"/>
      <c r="F862" s="19"/>
      <c r="H862" s="119"/>
      <c r="I862" s="75"/>
      <c r="J862" s="75"/>
      <c r="K862" s="74"/>
      <c r="L862" s="75"/>
      <c r="M862" s="99"/>
      <c r="S862" s="74"/>
    </row>
    <row r="863" spans="4:19" ht="26.1" customHeight="1" x14ac:dyDescent="0.25">
      <c r="D863" s="74"/>
      <c r="F863" s="19"/>
      <c r="H863" s="119"/>
      <c r="I863" s="75"/>
      <c r="J863" s="75"/>
      <c r="K863" s="74"/>
      <c r="L863" s="75"/>
      <c r="M863" s="99"/>
      <c r="S863" s="74"/>
    </row>
    <row r="864" spans="4:19" ht="26.1" customHeight="1" x14ac:dyDescent="0.25">
      <c r="D864" s="74"/>
      <c r="F864" s="19"/>
      <c r="H864" s="119"/>
      <c r="I864" s="75"/>
      <c r="J864" s="75"/>
      <c r="K864" s="74"/>
      <c r="L864" s="75"/>
      <c r="M864" s="99"/>
      <c r="S864" s="74"/>
    </row>
    <row r="865" spans="4:19" ht="26.1" customHeight="1" x14ac:dyDescent="0.25">
      <c r="D865" s="74"/>
      <c r="F865" s="19"/>
      <c r="H865" s="119"/>
      <c r="I865" s="75"/>
      <c r="J865" s="75"/>
      <c r="K865" s="74"/>
      <c r="L865" s="75"/>
      <c r="M865" s="99"/>
      <c r="S865" s="74"/>
    </row>
    <row r="866" spans="4:19" ht="26.1" customHeight="1" x14ac:dyDescent="0.25">
      <c r="D866" s="74"/>
      <c r="F866" s="19"/>
      <c r="H866" s="119"/>
      <c r="I866" s="75"/>
      <c r="J866" s="75"/>
      <c r="K866" s="74"/>
      <c r="L866" s="75"/>
      <c r="M866" s="99"/>
      <c r="S866" s="74"/>
    </row>
    <row r="867" spans="4:19" ht="26.1" customHeight="1" x14ac:dyDescent="0.25">
      <c r="D867" s="74"/>
      <c r="F867" s="19"/>
      <c r="H867" s="119"/>
      <c r="I867" s="75"/>
      <c r="J867" s="75"/>
      <c r="K867" s="74"/>
      <c r="L867" s="75"/>
      <c r="M867" s="99"/>
      <c r="S867" s="74"/>
    </row>
    <row r="868" spans="4:19" ht="26.1" customHeight="1" x14ac:dyDescent="0.25">
      <c r="D868" s="74"/>
      <c r="F868" s="19"/>
      <c r="H868" s="119"/>
      <c r="I868" s="75"/>
      <c r="J868" s="75"/>
      <c r="K868" s="74"/>
      <c r="L868" s="75"/>
      <c r="M868" s="99"/>
      <c r="S868" s="74"/>
    </row>
    <row r="869" spans="4:19" ht="26.1" customHeight="1" x14ac:dyDescent="0.25">
      <c r="D869" s="74"/>
      <c r="F869" s="19"/>
      <c r="H869" s="119"/>
      <c r="I869" s="75"/>
      <c r="J869" s="75"/>
      <c r="K869" s="74"/>
      <c r="L869" s="75"/>
      <c r="M869" s="99"/>
      <c r="S869" s="74"/>
    </row>
    <row r="870" spans="4:19" ht="26.1" customHeight="1" x14ac:dyDescent="0.25">
      <c r="D870" s="74"/>
      <c r="F870" s="19"/>
      <c r="H870" s="119"/>
      <c r="I870" s="75"/>
      <c r="J870" s="75"/>
      <c r="K870" s="74"/>
      <c r="L870" s="75"/>
      <c r="M870" s="99"/>
      <c r="S870" s="74"/>
    </row>
    <row r="871" spans="4:19" ht="26.1" customHeight="1" x14ac:dyDescent="0.25">
      <c r="D871" s="74"/>
      <c r="F871" s="19"/>
      <c r="H871" s="119"/>
      <c r="I871" s="75"/>
      <c r="J871" s="75"/>
      <c r="K871" s="74"/>
      <c r="L871" s="75"/>
      <c r="M871" s="99"/>
      <c r="S871" s="74"/>
    </row>
    <row r="872" spans="4:19" ht="26.1" customHeight="1" x14ac:dyDescent="0.25">
      <c r="D872" s="74"/>
      <c r="F872" s="19"/>
      <c r="H872" s="119"/>
      <c r="I872" s="75"/>
      <c r="J872" s="75"/>
      <c r="K872" s="74"/>
      <c r="L872" s="75"/>
      <c r="M872" s="99"/>
      <c r="S872" s="74"/>
    </row>
    <row r="873" spans="4:19" ht="26.1" customHeight="1" x14ac:dyDescent="0.25">
      <c r="D873" s="74"/>
      <c r="F873" s="19"/>
      <c r="H873" s="119"/>
      <c r="I873" s="75"/>
      <c r="J873" s="75"/>
      <c r="K873" s="74"/>
      <c r="L873" s="75"/>
      <c r="M873" s="99"/>
      <c r="S873" s="74"/>
    </row>
    <row r="874" spans="4:19" ht="26.1" customHeight="1" x14ac:dyDescent="0.25">
      <c r="D874" s="74"/>
      <c r="F874" s="19"/>
      <c r="H874" s="119"/>
      <c r="I874" s="75"/>
      <c r="J874" s="75"/>
      <c r="K874" s="74"/>
      <c r="L874" s="75"/>
      <c r="M874" s="99"/>
      <c r="S874" s="74"/>
    </row>
    <row r="875" spans="4:19" ht="26.1" customHeight="1" x14ac:dyDescent="0.25">
      <c r="D875" s="74"/>
      <c r="F875" s="19"/>
      <c r="H875" s="119"/>
      <c r="I875" s="75"/>
      <c r="J875" s="75"/>
      <c r="K875" s="74"/>
      <c r="L875" s="75"/>
      <c r="M875" s="99"/>
      <c r="S875" s="74"/>
    </row>
    <row r="876" spans="4:19" ht="26.1" customHeight="1" x14ac:dyDescent="0.25">
      <c r="D876" s="74"/>
      <c r="F876" s="19"/>
      <c r="H876" s="119"/>
      <c r="I876" s="75"/>
      <c r="J876" s="75"/>
      <c r="K876" s="74"/>
      <c r="L876" s="75"/>
      <c r="M876" s="99"/>
      <c r="S876" s="74"/>
    </row>
    <row r="877" spans="4:19" ht="26.1" customHeight="1" x14ac:dyDescent="0.25">
      <c r="D877" s="74"/>
      <c r="F877" s="19"/>
      <c r="H877" s="119"/>
      <c r="I877" s="75"/>
      <c r="J877" s="75"/>
      <c r="K877" s="74"/>
      <c r="L877" s="75"/>
      <c r="M877" s="99"/>
      <c r="S877" s="74"/>
    </row>
    <row r="878" spans="4:19" ht="26.1" customHeight="1" x14ac:dyDescent="0.25">
      <c r="D878" s="74"/>
      <c r="F878" s="19"/>
      <c r="H878" s="119"/>
      <c r="I878" s="75"/>
      <c r="J878" s="75"/>
      <c r="K878" s="74"/>
      <c r="L878" s="75"/>
      <c r="M878" s="99"/>
      <c r="S878" s="74"/>
    </row>
    <row r="879" spans="4:19" ht="26.1" customHeight="1" x14ac:dyDescent="0.25">
      <c r="D879" s="74"/>
      <c r="F879" s="19"/>
      <c r="H879" s="119"/>
      <c r="I879" s="75"/>
      <c r="J879" s="75"/>
      <c r="K879" s="74"/>
      <c r="L879" s="75"/>
      <c r="M879" s="99"/>
      <c r="S879" s="74"/>
    </row>
    <row r="880" spans="4:19" ht="26.1" customHeight="1" x14ac:dyDescent="0.25">
      <c r="D880" s="74"/>
      <c r="F880" s="19"/>
      <c r="H880" s="119"/>
      <c r="I880" s="75"/>
      <c r="J880" s="75"/>
      <c r="K880" s="74"/>
      <c r="L880" s="75"/>
      <c r="M880" s="99"/>
      <c r="S880" s="74"/>
    </row>
    <row r="881" spans="4:19" ht="26.1" customHeight="1" x14ac:dyDescent="0.25">
      <c r="D881" s="74"/>
      <c r="F881" s="19"/>
      <c r="H881" s="119"/>
      <c r="I881" s="75"/>
      <c r="J881" s="75"/>
      <c r="K881" s="74"/>
      <c r="L881" s="75"/>
      <c r="M881" s="99"/>
      <c r="S881" s="74"/>
    </row>
    <row r="882" spans="4:19" ht="26.1" customHeight="1" x14ac:dyDescent="0.25">
      <c r="D882" s="74"/>
      <c r="F882" s="19"/>
      <c r="H882" s="119"/>
      <c r="I882" s="75"/>
      <c r="J882" s="75"/>
      <c r="K882" s="74"/>
      <c r="L882" s="75"/>
      <c r="M882" s="99"/>
      <c r="S882" s="74"/>
    </row>
    <row r="883" spans="4:19" ht="26.1" customHeight="1" x14ac:dyDescent="0.25">
      <c r="D883" s="74"/>
      <c r="F883" s="19"/>
      <c r="H883" s="119"/>
      <c r="I883" s="75"/>
      <c r="J883" s="75"/>
      <c r="K883" s="74"/>
      <c r="L883" s="75"/>
      <c r="M883" s="99"/>
      <c r="S883" s="74"/>
    </row>
    <row r="884" spans="4:19" ht="26.1" customHeight="1" x14ac:dyDescent="0.25">
      <c r="D884" s="74"/>
      <c r="F884" s="19"/>
      <c r="H884" s="119"/>
      <c r="I884" s="75"/>
      <c r="J884" s="75"/>
      <c r="K884" s="74"/>
      <c r="L884" s="75"/>
      <c r="M884" s="99"/>
      <c r="S884" s="74"/>
    </row>
    <row r="885" spans="4:19" ht="26.1" customHeight="1" x14ac:dyDescent="0.25">
      <c r="D885" s="74"/>
      <c r="F885" s="19"/>
      <c r="H885" s="119"/>
      <c r="I885" s="75"/>
      <c r="J885" s="75"/>
      <c r="K885" s="74"/>
      <c r="L885" s="75"/>
      <c r="M885" s="99"/>
      <c r="S885" s="74"/>
    </row>
    <row r="886" spans="4:19" ht="26.1" customHeight="1" x14ac:dyDescent="0.25">
      <c r="D886" s="74"/>
      <c r="F886" s="19"/>
      <c r="H886" s="119"/>
      <c r="I886" s="75"/>
      <c r="J886" s="75"/>
      <c r="K886" s="74"/>
      <c r="L886" s="75"/>
      <c r="M886" s="99"/>
      <c r="S886" s="74"/>
    </row>
    <row r="887" spans="4:19" ht="26.1" customHeight="1" x14ac:dyDescent="0.25">
      <c r="D887" s="74"/>
      <c r="F887" s="19"/>
      <c r="H887" s="119"/>
      <c r="I887" s="75"/>
      <c r="J887" s="75"/>
      <c r="K887" s="74"/>
      <c r="L887" s="75"/>
      <c r="M887" s="99"/>
      <c r="S887" s="74"/>
    </row>
    <row r="888" spans="4:19" ht="26.1" customHeight="1" x14ac:dyDescent="0.25">
      <c r="D888" s="74"/>
      <c r="F888" s="19"/>
      <c r="H888" s="119"/>
      <c r="I888" s="75"/>
      <c r="J888" s="75"/>
      <c r="K888" s="74"/>
      <c r="L888" s="75"/>
      <c r="M888" s="99"/>
      <c r="S888" s="74"/>
    </row>
    <row r="889" spans="4:19" ht="26.1" customHeight="1" x14ac:dyDescent="0.25">
      <c r="D889" s="74"/>
      <c r="F889" s="19"/>
      <c r="H889" s="119"/>
      <c r="I889" s="75"/>
      <c r="J889" s="75"/>
      <c r="K889" s="74"/>
      <c r="L889" s="75"/>
      <c r="M889" s="99"/>
      <c r="S889" s="74"/>
    </row>
    <row r="890" spans="4:19" ht="26.1" customHeight="1" x14ac:dyDescent="0.25">
      <c r="D890" s="74"/>
      <c r="F890" s="19"/>
      <c r="H890" s="119"/>
      <c r="I890" s="75"/>
      <c r="J890" s="75"/>
      <c r="K890" s="74"/>
      <c r="L890" s="75"/>
      <c r="M890" s="99"/>
      <c r="S890" s="74"/>
    </row>
    <row r="891" spans="4:19" ht="26.1" customHeight="1" x14ac:dyDescent="0.25">
      <c r="D891" s="74"/>
      <c r="F891" s="19"/>
      <c r="H891" s="119"/>
      <c r="I891" s="75"/>
      <c r="J891" s="75"/>
      <c r="K891" s="74"/>
      <c r="L891" s="75"/>
      <c r="M891" s="99"/>
      <c r="S891" s="74"/>
    </row>
    <row r="892" spans="4:19" ht="26.1" customHeight="1" x14ac:dyDescent="0.25">
      <c r="D892" s="74"/>
      <c r="F892" s="19"/>
      <c r="H892" s="119"/>
      <c r="I892" s="75"/>
      <c r="J892" s="75"/>
      <c r="K892" s="74"/>
      <c r="L892" s="75"/>
      <c r="M892" s="99"/>
      <c r="S892" s="74"/>
    </row>
    <row r="893" spans="4:19" ht="26.1" customHeight="1" x14ac:dyDescent="0.25">
      <c r="D893" s="74"/>
      <c r="F893" s="19"/>
      <c r="H893" s="119"/>
      <c r="I893" s="75"/>
      <c r="J893" s="75"/>
      <c r="K893" s="74"/>
      <c r="L893" s="75"/>
      <c r="M893" s="99"/>
      <c r="S893" s="74"/>
    </row>
    <row r="894" spans="4:19" ht="26.1" customHeight="1" x14ac:dyDescent="0.25">
      <c r="D894" s="74"/>
      <c r="F894" s="19"/>
      <c r="H894" s="119"/>
      <c r="I894" s="75"/>
      <c r="J894" s="75"/>
      <c r="K894" s="74"/>
      <c r="L894" s="75"/>
      <c r="M894" s="99"/>
      <c r="S894" s="74"/>
    </row>
    <row r="895" spans="4:19" ht="26.1" customHeight="1" x14ac:dyDescent="0.25">
      <c r="D895" s="74"/>
      <c r="F895" s="19"/>
      <c r="H895" s="119"/>
      <c r="I895" s="75"/>
      <c r="J895" s="75"/>
      <c r="K895" s="74"/>
      <c r="L895" s="75"/>
      <c r="M895" s="99"/>
      <c r="S895" s="74"/>
    </row>
    <row r="896" spans="4:19" ht="26.1" customHeight="1" x14ac:dyDescent="0.25">
      <c r="D896" s="74"/>
      <c r="F896" s="19"/>
      <c r="H896" s="119"/>
      <c r="I896" s="75"/>
      <c r="J896" s="75"/>
      <c r="K896" s="74"/>
      <c r="L896" s="75"/>
      <c r="M896" s="99"/>
      <c r="S896" s="74"/>
    </row>
    <row r="897" spans="4:19" ht="26.1" customHeight="1" x14ac:dyDescent="0.25">
      <c r="D897" s="74"/>
      <c r="F897" s="19"/>
      <c r="H897" s="119"/>
      <c r="I897" s="75"/>
      <c r="J897" s="75"/>
      <c r="K897" s="74"/>
      <c r="L897" s="75"/>
      <c r="M897" s="99"/>
      <c r="S897" s="74"/>
    </row>
    <row r="898" spans="4:19" ht="26.1" customHeight="1" x14ac:dyDescent="0.25">
      <c r="D898" s="74"/>
      <c r="F898" s="19"/>
      <c r="H898" s="119"/>
      <c r="I898" s="75"/>
      <c r="J898" s="75"/>
      <c r="K898" s="74"/>
      <c r="L898" s="75"/>
      <c r="M898" s="99"/>
      <c r="S898" s="74"/>
    </row>
    <row r="899" spans="4:19" ht="26.1" customHeight="1" x14ac:dyDescent="0.25">
      <c r="D899" s="74"/>
      <c r="F899" s="19"/>
      <c r="H899" s="119"/>
      <c r="I899" s="75"/>
      <c r="J899" s="75"/>
      <c r="K899" s="74"/>
      <c r="L899" s="75"/>
      <c r="M899" s="99"/>
      <c r="S899" s="74"/>
    </row>
    <row r="900" spans="4:19" ht="26.1" customHeight="1" x14ac:dyDescent="0.25">
      <c r="D900" s="74"/>
      <c r="F900" s="19"/>
      <c r="H900" s="119"/>
      <c r="I900" s="75"/>
      <c r="J900" s="75"/>
      <c r="K900" s="74"/>
      <c r="L900" s="75"/>
      <c r="M900" s="99"/>
      <c r="S900" s="74"/>
    </row>
    <row r="901" spans="4:19" ht="26.1" customHeight="1" x14ac:dyDescent="0.25">
      <c r="D901" s="74"/>
      <c r="F901" s="19"/>
      <c r="H901" s="119"/>
      <c r="I901" s="75"/>
      <c r="J901" s="75"/>
      <c r="K901" s="74"/>
      <c r="L901" s="75"/>
      <c r="M901" s="99"/>
      <c r="S901" s="74"/>
    </row>
    <row r="902" spans="4:19" ht="26.1" customHeight="1" x14ac:dyDescent="0.25">
      <c r="D902" s="74"/>
      <c r="F902" s="19"/>
      <c r="H902" s="119"/>
      <c r="I902" s="75"/>
      <c r="J902" s="75"/>
      <c r="K902" s="74"/>
      <c r="L902" s="75"/>
      <c r="M902" s="99"/>
      <c r="S902" s="74"/>
    </row>
    <row r="903" spans="4:19" ht="26.1" customHeight="1" x14ac:dyDescent="0.25">
      <c r="D903" s="74"/>
      <c r="F903" s="19"/>
      <c r="H903" s="119"/>
      <c r="I903" s="75"/>
      <c r="J903" s="75"/>
      <c r="K903" s="74"/>
      <c r="L903" s="75"/>
      <c r="M903" s="99"/>
      <c r="S903" s="74"/>
    </row>
    <row r="904" spans="4:19" ht="26.1" customHeight="1" x14ac:dyDescent="0.25">
      <c r="D904" s="74"/>
      <c r="F904" s="19"/>
      <c r="H904" s="119"/>
      <c r="I904" s="75"/>
      <c r="J904" s="75"/>
      <c r="K904" s="74"/>
      <c r="L904" s="75"/>
      <c r="M904" s="99"/>
      <c r="S904" s="74"/>
    </row>
    <row r="905" spans="4:19" ht="26.1" customHeight="1" x14ac:dyDescent="0.25">
      <c r="D905" s="74"/>
      <c r="F905" s="19"/>
      <c r="H905" s="119"/>
      <c r="I905" s="75"/>
      <c r="J905" s="75"/>
      <c r="K905" s="74"/>
      <c r="L905" s="75"/>
      <c r="M905" s="99"/>
      <c r="S905" s="74"/>
    </row>
    <row r="906" spans="4:19" ht="26.1" customHeight="1" x14ac:dyDescent="0.25">
      <c r="D906" s="74"/>
      <c r="F906" s="19"/>
      <c r="H906" s="119"/>
      <c r="I906" s="75"/>
      <c r="J906" s="75"/>
      <c r="K906" s="74"/>
      <c r="L906" s="75"/>
      <c r="M906" s="99"/>
      <c r="S906" s="74"/>
    </row>
    <row r="907" spans="4:19" ht="26.1" customHeight="1" x14ac:dyDescent="0.25">
      <c r="D907" s="74"/>
      <c r="F907" s="19"/>
      <c r="H907" s="119"/>
      <c r="I907" s="75"/>
      <c r="J907" s="75"/>
      <c r="K907" s="74"/>
      <c r="L907" s="75"/>
      <c r="M907" s="99"/>
      <c r="S907" s="74"/>
    </row>
    <row r="908" spans="4:19" ht="26.1" customHeight="1" x14ac:dyDescent="0.25">
      <c r="D908" s="74"/>
      <c r="F908" s="19"/>
      <c r="H908" s="119"/>
      <c r="I908" s="75"/>
      <c r="J908" s="75"/>
      <c r="K908" s="74"/>
      <c r="L908" s="75"/>
      <c r="M908" s="99"/>
      <c r="S908" s="74"/>
    </row>
    <row r="909" spans="4:19" ht="26.1" customHeight="1" x14ac:dyDescent="0.25">
      <c r="D909" s="74"/>
      <c r="F909" s="19"/>
      <c r="H909" s="119"/>
      <c r="I909" s="75"/>
      <c r="J909" s="75"/>
      <c r="K909" s="74"/>
      <c r="L909" s="75"/>
      <c r="M909" s="99"/>
      <c r="S909" s="74"/>
    </row>
    <row r="910" spans="4:19" ht="26.1" customHeight="1" x14ac:dyDescent="0.25">
      <c r="D910" s="74"/>
      <c r="F910" s="19"/>
      <c r="H910" s="119"/>
      <c r="I910" s="75"/>
      <c r="J910" s="75"/>
      <c r="K910" s="74"/>
      <c r="L910" s="75"/>
      <c r="M910" s="99"/>
      <c r="S910" s="74"/>
    </row>
    <row r="911" spans="4:19" ht="26.1" customHeight="1" x14ac:dyDescent="0.25">
      <c r="D911" s="74"/>
      <c r="F911" s="19"/>
      <c r="H911" s="119"/>
      <c r="I911" s="75"/>
      <c r="J911" s="75"/>
      <c r="K911" s="74"/>
      <c r="L911" s="75"/>
      <c r="M911" s="99"/>
      <c r="S911" s="74"/>
    </row>
    <row r="912" spans="4:19" ht="26.1" customHeight="1" x14ac:dyDescent="0.25">
      <c r="D912" s="74"/>
      <c r="F912" s="19"/>
      <c r="H912" s="119"/>
      <c r="I912" s="75"/>
      <c r="J912" s="75"/>
      <c r="K912" s="74"/>
      <c r="L912" s="75"/>
      <c r="M912" s="99"/>
      <c r="S912" s="74"/>
    </row>
    <row r="913" spans="4:19" ht="26.1" customHeight="1" x14ac:dyDescent="0.25">
      <c r="D913" s="74"/>
      <c r="F913" s="19"/>
      <c r="H913" s="119"/>
      <c r="I913" s="75"/>
      <c r="J913" s="75"/>
      <c r="K913" s="74"/>
      <c r="L913" s="75"/>
      <c r="M913" s="99"/>
      <c r="S913" s="74"/>
    </row>
    <row r="914" spans="4:19" ht="26.1" customHeight="1" x14ac:dyDescent="0.25">
      <c r="D914" s="74"/>
      <c r="F914" s="19"/>
      <c r="H914" s="119"/>
      <c r="I914" s="75"/>
      <c r="J914" s="75"/>
      <c r="K914" s="74"/>
      <c r="L914" s="75"/>
      <c r="M914" s="99"/>
      <c r="S914" s="74"/>
    </row>
    <row r="915" spans="4:19" ht="26.1" customHeight="1" x14ac:dyDescent="0.25">
      <c r="D915" s="74"/>
      <c r="F915" s="19"/>
      <c r="H915" s="119"/>
      <c r="I915" s="75"/>
      <c r="J915" s="75"/>
      <c r="K915" s="74"/>
      <c r="L915" s="75"/>
      <c r="M915" s="99"/>
      <c r="S915" s="74"/>
    </row>
    <row r="916" spans="4:19" ht="26.1" customHeight="1" x14ac:dyDescent="0.25">
      <c r="D916" s="74"/>
      <c r="F916" s="19"/>
      <c r="H916" s="119"/>
      <c r="I916" s="75"/>
      <c r="J916" s="75"/>
      <c r="K916" s="74"/>
      <c r="L916" s="75"/>
      <c r="M916" s="99"/>
      <c r="S916" s="74"/>
    </row>
    <row r="917" spans="4:19" ht="26.1" customHeight="1" x14ac:dyDescent="0.25">
      <c r="D917" s="74"/>
      <c r="F917" s="19"/>
      <c r="H917" s="119"/>
      <c r="I917" s="75"/>
      <c r="J917" s="75"/>
      <c r="K917" s="74"/>
      <c r="L917" s="75"/>
      <c r="M917" s="99"/>
      <c r="S917" s="74"/>
    </row>
    <row r="918" spans="4:19" ht="26.1" customHeight="1" x14ac:dyDescent="0.25">
      <c r="D918" s="74"/>
      <c r="F918" s="19"/>
      <c r="H918" s="119"/>
      <c r="I918" s="75"/>
      <c r="J918" s="75"/>
      <c r="K918" s="74"/>
      <c r="L918" s="75"/>
      <c r="M918" s="99"/>
      <c r="S918" s="74"/>
    </row>
    <row r="919" spans="4:19" ht="26.1" customHeight="1" x14ac:dyDescent="0.25">
      <c r="D919" s="74"/>
      <c r="F919" s="19"/>
      <c r="H919" s="119"/>
      <c r="I919" s="75"/>
      <c r="J919" s="75"/>
      <c r="K919" s="74"/>
      <c r="L919" s="75"/>
      <c r="M919" s="99"/>
      <c r="S919" s="74"/>
    </row>
    <row r="920" spans="4:19" ht="26.1" customHeight="1" x14ac:dyDescent="0.25">
      <c r="D920" s="74"/>
      <c r="F920" s="19"/>
      <c r="H920" s="119"/>
      <c r="I920" s="75"/>
      <c r="J920" s="75"/>
      <c r="K920" s="74"/>
      <c r="L920" s="75"/>
      <c r="M920" s="99"/>
      <c r="S920" s="74"/>
    </row>
    <row r="921" spans="4:19" ht="26.1" customHeight="1" x14ac:dyDescent="0.25">
      <c r="D921" s="74"/>
      <c r="F921" s="19"/>
      <c r="H921" s="119"/>
      <c r="I921" s="75"/>
      <c r="J921" s="75"/>
      <c r="K921" s="74"/>
      <c r="L921" s="75"/>
      <c r="M921" s="99"/>
      <c r="S921" s="74"/>
    </row>
    <row r="922" spans="4:19" ht="26.1" customHeight="1" x14ac:dyDescent="0.25">
      <c r="D922" s="74"/>
      <c r="F922" s="19"/>
      <c r="H922" s="119"/>
      <c r="I922" s="75"/>
      <c r="J922" s="75"/>
      <c r="K922" s="74"/>
      <c r="L922" s="75"/>
      <c r="M922" s="99"/>
      <c r="S922" s="74"/>
    </row>
    <row r="923" spans="4:19" ht="26.1" customHeight="1" x14ac:dyDescent="0.25">
      <c r="D923" s="74"/>
      <c r="F923" s="19"/>
      <c r="H923" s="119"/>
      <c r="I923" s="75"/>
      <c r="J923" s="75"/>
      <c r="K923" s="74"/>
      <c r="L923" s="75"/>
      <c r="M923" s="99"/>
      <c r="S923" s="74"/>
    </row>
    <row r="924" spans="4:19" ht="26.1" customHeight="1" x14ac:dyDescent="0.25">
      <c r="D924" s="74"/>
      <c r="F924" s="19"/>
      <c r="H924" s="119"/>
      <c r="I924" s="75"/>
      <c r="J924" s="75"/>
      <c r="K924" s="74"/>
      <c r="L924" s="75"/>
      <c r="M924" s="99"/>
      <c r="S924" s="74"/>
    </row>
    <row r="925" spans="4:19" ht="26.1" customHeight="1" x14ac:dyDescent="0.25">
      <c r="D925" s="74"/>
      <c r="F925" s="19"/>
      <c r="H925" s="119"/>
      <c r="I925" s="75"/>
      <c r="J925" s="75"/>
      <c r="K925" s="74"/>
      <c r="L925" s="75"/>
      <c r="M925" s="99"/>
      <c r="S925" s="74"/>
    </row>
    <row r="926" spans="4:19" ht="26.1" customHeight="1" x14ac:dyDescent="0.25">
      <c r="D926" s="74"/>
      <c r="F926" s="19"/>
      <c r="H926" s="119"/>
      <c r="I926" s="75"/>
      <c r="J926" s="75"/>
      <c r="K926" s="74"/>
      <c r="L926" s="75"/>
      <c r="M926" s="99"/>
      <c r="S926" s="74"/>
    </row>
    <row r="927" spans="4:19" ht="26.1" customHeight="1" x14ac:dyDescent="0.25">
      <c r="D927" s="74"/>
      <c r="F927" s="19"/>
      <c r="H927" s="119"/>
      <c r="I927" s="75"/>
      <c r="J927" s="75"/>
      <c r="K927" s="74"/>
      <c r="L927" s="75"/>
      <c r="M927" s="99"/>
      <c r="S927" s="74"/>
    </row>
    <row r="928" spans="4:19" ht="26.1" customHeight="1" x14ac:dyDescent="0.25">
      <c r="D928" s="74"/>
      <c r="F928" s="19"/>
      <c r="H928" s="119"/>
      <c r="I928" s="75"/>
      <c r="J928" s="75"/>
      <c r="K928" s="74"/>
      <c r="L928" s="75"/>
      <c r="M928" s="99"/>
      <c r="S928" s="74"/>
    </row>
    <row r="929" spans="4:19" ht="26.1" customHeight="1" x14ac:dyDescent="0.25">
      <c r="D929" s="74"/>
      <c r="F929" s="19"/>
      <c r="H929" s="119"/>
      <c r="I929" s="75"/>
      <c r="J929" s="75"/>
      <c r="K929" s="74"/>
      <c r="L929" s="75"/>
      <c r="M929" s="99"/>
      <c r="S929" s="74"/>
    </row>
    <row r="930" spans="4:19" ht="26.1" customHeight="1" x14ac:dyDescent="0.25">
      <c r="D930" s="74"/>
      <c r="F930" s="19"/>
      <c r="H930" s="119"/>
      <c r="I930" s="75"/>
      <c r="J930" s="75"/>
      <c r="K930" s="74"/>
      <c r="L930" s="75"/>
      <c r="M930" s="99"/>
      <c r="S930" s="74"/>
    </row>
    <row r="931" spans="4:19" ht="26.1" customHeight="1" x14ac:dyDescent="0.25">
      <c r="D931" s="74"/>
      <c r="F931" s="19"/>
      <c r="H931" s="119"/>
      <c r="I931" s="75"/>
      <c r="J931" s="75"/>
      <c r="K931" s="74"/>
      <c r="L931" s="75"/>
      <c r="M931" s="99"/>
      <c r="S931" s="74"/>
    </row>
    <row r="932" spans="4:19" ht="26.1" customHeight="1" x14ac:dyDescent="0.25">
      <c r="D932" s="74"/>
      <c r="F932" s="19"/>
      <c r="H932" s="119"/>
      <c r="I932" s="75"/>
      <c r="J932" s="75"/>
      <c r="K932" s="74"/>
      <c r="L932" s="75"/>
      <c r="M932" s="99"/>
      <c r="S932" s="74"/>
    </row>
    <row r="933" spans="4:19" ht="26.1" customHeight="1" x14ac:dyDescent="0.25">
      <c r="D933" s="74"/>
      <c r="F933" s="19"/>
      <c r="H933" s="119"/>
      <c r="I933" s="75"/>
      <c r="J933" s="75"/>
      <c r="K933" s="74"/>
      <c r="L933" s="75"/>
      <c r="M933" s="99"/>
      <c r="S933" s="74"/>
    </row>
    <row r="934" spans="4:19" ht="26.1" customHeight="1" x14ac:dyDescent="0.25">
      <c r="D934" s="74"/>
      <c r="F934" s="19"/>
      <c r="H934" s="119"/>
      <c r="I934" s="75"/>
      <c r="J934" s="75"/>
      <c r="K934" s="74"/>
      <c r="L934" s="75"/>
      <c r="M934" s="99"/>
      <c r="S934" s="74"/>
    </row>
    <row r="935" spans="4:19" ht="26.1" customHeight="1" x14ac:dyDescent="0.25">
      <c r="D935" s="74"/>
      <c r="F935" s="19"/>
      <c r="H935" s="119"/>
      <c r="I935" s="75"/>
      <c r="J935" s="75"/>
      <c r="K935" s="74"/>
      <c r="L935" s="75"/>
      <c r="M935" s="99"/>
      <c r="S935" s="74"/>
    </row>
    <row r="936" spans="4:19" ht="26.1" customHeight="1" x14ac:dyDescent="0.25">
      <c r="D936" s="74"/>
      <c r="F936" s="19"/>
      <c r="H936" s="119"/>
      <c r="I936" s="75"/>
      <c r="J936" s="75"/>
      <c r="K936" s="74"/>
      <c r="L936" s="75"/>
      <c r="M936" s="99"/>
      <c r="S936" s="74"/>
    </row>
    <row r="937" spans="4:19" ht="26.1" customHeight="1" x14ac:dyDescent="0.25">
      <c r="D937" s="74"/>
      <c r="F937" s="19"/>
      <c r="H937" s="119"/>
      <c r="I937" s="75"/>
      <c r="J937" s="75"/>
      <c r="K937" s="74"/>
      <c r="L937" s="75"/>
      <c r="M937" s="99"/>
      <c r="S937" s="74"/>
    </row>
    <row r="938" spans="4:19" ht="26.1" customHeight="1" x14ac:dyDescent="0.25">
      <c r="D938" s="74"/>
      <c r="F938" s="19"/>
      <c r="H938" s="119"/>
      <c r="I938" s="75"/>
      <c r="J938" s="75"/>
      <c r="K938" s="74"/>
      <c r="L938" s="75"/>
      <c r="M938" s="99"/>
      <c r="S938" s="74"/>
    </row>
    <row r="939" spans="4:19" ht="26.1" customHeight="1" x14ac:dyDescent="0.25">
      <c r="D939" s="74"/>
      <c r="F939" s="19"/>
      <c r="H939" s="119"/>
      <c r="I939" s="75"/>
      <c r="J939" s="75"/>
      <c r="K939" s="74"/>
      <c r="L939" s="75"/>
      <c r="M939" s="99"/>
      <c r="S939" s="74"/>
    </row>
    <row r="940" spans="4:19" ht="26.1" customHeight="1" x14ac:dyDescent="0.25">
      <c r="D940" s="74"/>
      <c r="F940" s="19"/>
      <c r="H940" s="119"/>
      <c r="I940" s="75"/>
      <c r="J940" s="75"/>
      <c r="K940" s="74"/>
      <c r="L940" s="75"/>
      <c r="M940" s="99"/>
      <c r="S940" s="74"/>
    </row>
    <row r="941" spans="4:19" ht="26.1" customHeight="1" x14ac:dyDescent="0.25">
      <c r="D941" s="74"/>
      <c r="F941" s="19"/>
      <c r="H941" s="119"/>
      <c r="I941" s="75"/>
      <c r="J941" s="75"/>
      <c r="K941" s="74"/>
      <c r="L941" s="75"/>
      <c r="M941" s="99"/>
      <c r="S941" s="74"/>
    </row>
    <row r="942" spans="4:19" ht="26.1" customHeight="1" x14ac:dyDescent="0.25">
      <c r="D942" s="74"/>
      <c r="F942" s="19"/>
      <c r="H942" s="119"/>
      <c r="I942" s="75"/>
      <c r="J942" s="75"/>
      <c r="K942" s="74"/>
      <c r="L942" s="75"/>
      <c r="M942" s="99"/>
      <c r="S942" s="74"/>
    </row>
    <row r="943" spans="4:19" ht="26.1" customHeight="1" x14ac:dyDescent="0.25">
      <c r="D943" s="74"/>
      <c r="F943" s="19"/>
      <c r="H943" s="119"/>
      <c r="I943" s="75"/>
      <c r="J943" s="75"/>
      <c r="K943" s="74"/>
      <c r="L943" s="75"/>
      <c r="M943" s="99"/>
      <c r="S943" s="74"/>
    </row>
    <row r="944" spans="4:19" ht="26.1" customHeight="1" x14ac:dyDescent="0.25">
      <c r="D944" s="74"/>
      <c r="F944" s="19"/>
      <c r="H944" s="119"/>
      <c r="I944" s="75"/>
      <c r="J944" s="75"/>
      <c r="K944" s="74"/>
      <c r="L944" s="75"/>
      <c r="M944" s="99"/>
      <c r="S944" s="74"/>
    </row>
    <row r="945" spans="4:19" ht="26.1" customHeight="1" x14ac:dyDescent="0.25">
      <c r="D945" s="74"/>
      <c r="F945" s="19"/>
      <c r="H945" s="119"/>
      <c r="I945" s="75"/>
      <c r="J945" s="75"/>
      <c r="K945" s="74"/>
      <c r="L945" s="75"/>
      <c r="M945" s="99"/>
      <c r="S945" s="74"/>
    </row>
    <row r="946" spans="4:19" ht="26.1" customHeight="1" x14ac:dyDescent="0.25">
      <c r="D946" s="74"/>
      <c r="F946" s="19"/>
      <c r="H946" s="119"/>
      <c r="I946" s="75"/>
      <c r="J946" s="75"/>
      <c r="K946" s="74"/>
      <c r="L946" s="75"/>
      <c r="M946" s="99"/>
      <c r="S946" s="74"/>
    </row>
    <row r="947" spans="4:19" ht="26.1" customHeight="1" x14ac:dyDescent="0.25">
      <c r="D947" s="74"/>
      <c r="F947" s="19"/>
      <c r="H947" s="119"/>
      <c r="I947" s="75"/>
      <c r="J947" s="75"/>
      <c r="K947" s="74"/>
      <c r="L947" s="75"/>
      <c r="M947" s="99"/>
      <c r="S947" s="74"/>
    </row>
    <row r="948" spans="4:19" ht="26.1" customHeight="1" x14ac:dyDescent="0.25">
      <c r="D948" s="74"/>
      <c r="F948" s="19"/>
      <c r="H948" s="119"/>
      <c r="I948" s="75"/>
      <c r="J948" s="75"/>
      <c r="K948" s="74"/>
      <c r="L948" s="75"/>
      <c r="M948" s="99"/>
      <c r="S948" s="74"/>
    </row>
    <row r="949" spans="4:19" ht="26.1" customHeight="1" x14ac:dyDescent="0.25">
      <c r="D949" s="74"/>
      <c r="F949" s="19"/>
      <c r="H949" s="119"/>
      <c r="I949" s="75"/>
      <c r="J949" s="75"/>
      <c r="K949" s="74"/>
      <c r="L949" s="75"/>
      <c r="M949" s="99"/>
      <c r="S949" s="74"/>
    </row>
    <row r="950" spans="4:19" ht="26.1" customHeight="1" x14ac:dyDescent="0.25">
      <c r="D950" s="74"/>
      <c r="F950" s="19"/>
      <c r="H950" s="119"/>
      <c r="I950" s="75"/>
      <c r="J950" s="75"/>
      <c r="K950" s="74"/>
      <c r="L950" s="75"/>
      <c r="M950" s="99"/>
      <c r="S950" s="74"/>
    </row>
    <row r="951" spans="4:19" ht="26.1" customHeight="1" x14ac:dyDescent="0.25">
      <c r="D951" s="74"/>
      <c r="F951" s="19"/>
      <c r="H951" s="119"/>
      <c r="I951" s="75"/>
      <c r="J951" s="75"/>
      <c r="K951" s="74"/>
      <c r="L951" s="75"/>
      <c r="M951" s="99"/>
      <c r="S951" s="74"/>
    </row>
    <row r="952" spans="4:19" ht="26.1" customHeight="1" x14ac:dyDescent="0.25">
      <c r="D952" s="74"/>
      <c r="F952" s="19"/>
      <c r="H952" s="119"/>
      <c r="I952" s="75"/>
      <c r="J952" s="75"/>
      <c r="K952" s="74"/>
      <c r="L952" s="75"/>
      <c r="M952" s="99"/>
      <c r="S952" s="74"/>
    </row>
    <row r="953" spans="4:19" ht="26.1" customHeight="1" x14ac:dyDescent="0.25">
      <c r="D953" s="74"/>
      <c r="F953" s="19"/>
      <c r="H953" s="119"/>
      <c r="I953" s="75"/>
      <c r="J953" s="75"/>
      <c r="K953" s="74"/>
      <c r="L953" s="75"/>
      <c r="M953" s="99"/>
      <c r="S953" s="74"/>
    </row>
    <row r="954" spans="4:19" ht="26.1" customHeight="1" x14ac:dyDescent="0.25">
      <c r="D954" s="74"/>
      <c r="F954" s="19"/>
      <c r="H954" s="119"/>
      <c r="I954" s="75"/>
      <c r="J954" s="75"/>
      <c r="K954" s="74"/>
      <c r="L954" s="75"/>
      <c r="M954" s="99"/>
      <c r="S954" s="74"/>
    </row>
    <row r="955" spans="4:19" ht="26.1" customHeight="1" x14ac:dyDescent="0.25">
      <c r="D955" s="74"/>
      <c r="F955" s="19"/>
      <c r="H955" s="119"/>
      <c r="I955" s="75"/>
      <c r="J955" s="75"/>
      <c r="K955" s="74"/>
      <c r="L955" s="75"/>
      <c r="M955" s="99"/>
      <c r="S955" s="74"/>
    </row>
    <row r="956" spans="4:19" ht="26.1" customHeight="1" x14ac:dyDescent="0.25">
      <c r="D956" s="74"/>
      <c r="F956" s="19"/>
      <c r="H956" s="119"/>
      <c r="I956" s="75"/>
      <c r="J956" s="75"/>
      <c r="K956" s="74"/>
      <c r="L956" s="75"/>
      <c r="M956" s="99"/>
      <c r="S956" s="74"/>
    </row>
    <row r="957" spans="4:19" ht="26.1" customHeight="1" x14ac:dyDescent="0.25">
      <c r="D957" s="74"/>
      <c r="F957" s="19"/>
      <c r="H957" s="119"/>
      <c r="I957" s="75"/>
      <c r="J957" s="75"/>
      <c r="K957" s="74"/>
      <c r="L957" s="75"/>
      <c r="M957" s="99"/>
      <c r="S957" s="74"/>
    </row>
    <row r="958" spans="4:19" ht="26.1" customHeight="1" x14ac:dyDescent="0.25">
      <c r="D958" s="74"/>
      <c r="F958" s="19"/>
      <c r="H958" s="119"/>
      <c r="I958" s="75"/>
      <c r="J958" s="75"/>
      <c r="K958" s="74"/>
      <c r="L958" s="75"/>
      <c r="M958" s="99"/>
      <c r="S958" s="74"/>
    </row>
    <row r="959" spans="4:19" ht="26.1" customHeight="1" x14ac:dyDescent="0.25">
      <c r="D959" s="74"/>
      <c r="F959" s="19"/>
      <c r="H959" s="119"/>
      <c r="I959" s="75"/>
      <c r="J959" s="75"/>
      <c r="K959" s="74"/>
      <c r="L959" s="75"/>
      <c r="M959" s="99"/>
      <c r="S959" s="74"/>
    </row>
    <row r="960" spans="4:19" ht="26.1" customHeight="1" x14ac:dyDescent="0.25">
      <c r="D960" s="74"/>
      <c r="F960" s="19"/>
      <c r="H960" s="119"/>
      <c r="I960" s="75"/>
      <c r="J960" s="75"/>
      <c r="K960" s="74"/>
      <c r="L960" s="75"/>
      <c r="M960" s="99"/>
      <c r="S960" s="74"/>
    </row>
    <row r="961" spans="4:19" ht="26.1" customHeight="1" x14ac:dyDescent="0.25">
      <c r="D961" s="74"/>
      <c r="F961" s="19"/>
      <c r="H961" s="119"/>
      <c r="I961" s="75"/>
      <c r="J961" s="75"/>
      <c r="K961" s="74"/>
      <c r="L961" s="75"/>
      <c r="M961" s="99"/>
      <c r="S961" s="74"/>
    </row>
    <row r="962" spans="4:19" ht="26.1" customHeight="1" x14ac:dyDescent="0.25">
      <c r="D962" s="74"/>
      <c r="F962" s="19"/>
      <c r="H962" s="119"/>
      <c r="I962" s="75"/>
      <c r="J962" s="75"/>
      <c r="K962" s="74"/>
      <c r="L962" s="75"/>
      <c r="M962" s="99"/>
      <c r="S962" s="74"/>
    </row>
    <row r="963" spans="4:19" ht="26.1" customHeight="1" x14ac:dyDescent="0.25">
      <c r="D963" s="74"/>
      <c r="F963" s="19"/>
      <c r="H963" s="119"/>
      <c r="I963" s="75"/>
      <c r="J963" s="75"/>
      <c r="K963" s="74"/>
      <c r="L963" s="75"/>
      <c r="M963" s="99"/>
      <c r="S963" s="74"/>
    </row>
    <row r="964" spans="4:19" ht="26.1" customHeight="1" x14ac:dyDescent="0.25">
      <c r="D964" s="74"/>
      <c r="F964" s="19"/>
      <c r="H964" s="119"/>
      <c r="I964" s="75"/>
      <c r="J964" s="75"/>
      <c r="K964" s="74"/>
      <c r="L964" s="75"/>
      <c r="M964" s="99"/>
      <c r="S964" s="74"/>
    </row>
    <row r="965" spans="4:19" ht="26.1" customHeight="1" x14ac:dyDescent="0.25">
      <c r="D965" s="74"/>
      <c r="F965" s="19"/>
      <c r="H965" s="119"/>
      <c r="I965" s="75"/>
      <c r="J965" s="75"/>
      <c r="K965" s="74"/>
      <c r="L965" s="75"/>
      <c r="M965" s="99"/>
      <c r="S965" s="74"/>
    </row>
    <row r="966" spans="4:19" ht="26.1" customHeight="1" x14ac:dyDescent="0.25">
      <c r="D966" s="74"/>
      <c r="F966" s="19"/>
      <c r="H966" s="119"/>
      <c r="I966" s="75"/>
      <c r="J966" s="75"/>
      <c r="K966" s="74"/>
      <c r="L966" s="75"/>
      <c r="M966" s="99"/>
      <c r="S966" s="74"/>
    </row>
    <row r="967" spans="4:19" ht="26.1" customHeight="1" x14ac:dyDescent="0.25">
      <c r="D967" s="74"/>
      <c r="F967" s="19"/>
      <c r="H967" s="119"/>
      <c r="I967" s="75"/>
      <c r="J967" s="75"/>
      <c r="K967" s="74"/>
      <c r="L967" s="75"/>
      <c r="M967" s="99"/>
      <c r="S967" s="74"/>
    </row>
    <row r="968" spans="4:19" ht="26.1" customHeight="1" x14ac:dyDescent="0.25">
      <c r="D968" s="74"/>
      <c r="F968" s="19"/>
      <c r="H968" s="119"/>
      <c r="I968" s="75"/>
      <c r="J968" s="75"/>
      <c r="K968" s="74"/>
      <c r="L968" s="75"/>
      <c r="M968" s="99"/>
      <c r="S968" s="74"/>
    </row>
    <row r="969" spans="4:19" ht="26.1" customHeight="1" x14ac:dyDescent="0.25">
      <c r="D969" s="74"/>
      <c r="F969" s="19"/>
      <c r="H969" s="119"/>
      <c r="I969" s="75"/>
      <c r="J969" s="75"/>
      <c r="K969" s="74"/>
      <c r="L969" s="75"/>
      <c r="M969" s="99"/>
      <c r="S969" s="74"/>
    </row>
    <row r="970" spans="4:19" ht="26.1" customHeight="1" x14ac:dyDescent="0.25">
      <c r="D970" s="74"/>
      <c r="F970" s="19"/>
      <c r="H970" s="119"/>
      <c r="I970" s="75"/>
      <c r="J970" s="75"/>
      <c r="K970" s="74"/>
      <c r="L970" s="75"/>
      <c r="M970" s="99"/>
      <c r="S970" s="74"/>
    </row>
    <row r="971" spans="4:19" ht="26.1" customHeight="1" x14ac:dyDescent="0.25">
      <c r="D971" s="74"/>
      <c r="F971" s="19"/>
      <c r="H971" s="119"/>
      <c r="I971" s="75"/>
      <c r="J971" s="75"/>
      <c r="K971" s="74"/>
      <c r="L971" s="75"/>
      <c r="M971" s="99"/>
      <c r="S971" s="74"/>
    </row>
    <row r="972" spans="4:19" ht="26.1" customHeight="1" x14ac:dyDescent="0.25">
      <c r="D972" s="74"/>
      <c r="F972" s="19"/>
      <c r="H972" s="119"/>
      <c r="I972" s="75"/>
      <c r="J972" s="75"/>
      <c r="K972" s="74"/>
      <c r="L972" s="75"/>
      <c r="M972" s="99"/>
      <c r="S972" s="74"/>
    </row>
    <row r="973" spans="4:19" ht="26.1" customHeight="1" x14ac:dyDescent="0.25">
      <c r="D973" s="74"/>
      <c r="F973" s="19"/>
      <c r="H973" s="119"/>
      <c r="I973" s="75"/>
      <c r="J973" s="75"/>
      <c r="K973" s="74"/>
      <c r="L973" s="75"/>
      <c r="M973" s="99"/>
      <c r="S973" s="74"/>
    </row>
    <row r="974" spans="4:19" ht="26.1" customHeight="1" x14ac:dyDescent="0.25">
      <c r="D974" s="74"/>
      <c r="F974" s="19"/>
      <c r="H974" s="119"/>
      <c r="I974" s="75"/>
      <c r="J974" s="75"/>
      <c r="K974" s="74"/>
      <c r="L974" s="75"/>
      <c r="M974" s="99"/>
      <c r="S974" s="74"/>
    </row>
    <row r="975" spans="4:19" ht="26.1" customHeight="1" x14ac:dyDescent="0.25">
      <c r="D975" s="74"/>
      <c r="F975" s="19"/>
      <c r="H975" s="119"/>
      <c r="I975" s="75"/>
      <c r="J975" s="75"/>
      <c r="K975" s="74"/>
      <c r="L975" s="75"/>
      <c r="M975" s="99"/>
      <c r="S975" s="74"/>
    </row>
    <row r="976" spans="4:19" ht="26.1" customHeight="1" x14ac:dyDescent="0.25">
      <c r="D976" s="74"/>
      <c r="F976" s="19"/>
      <c r="H976" s="119"/>
      <c r="I976" s="75"/>
      <c r="J976" s="75"/>
      <c r="K976" s="74"/>
      <c r="L976" s="75"/>
      <c r="M976" s="99"/>
      <c r="S976" s="74"/>
    </row>
    <row r="977" spans="4:19" ht="26.1" customHeight="1" x14ac:dyDescent="0.25">
      <c r="D977" s="74"/>
      <c r="F977" s="19"/>
      <c r="H977" s="119"/>
      <c r="I977" s="75"/>
      <c r="J977" s="75"/>
      <c r="K977" s="74"/>
      <c r="L977" s="75"/>
      <c r="M977" s="99"/>
      <c r="S977" s="74"/>
    </row>
    <row r="978" spans="4:19" ht="26.1" customHeight="1" x14ac:dyDescent="0.25">
      <c r="D978" s="74"/>
      <c r="F978" s="19"/>
      <c r="H978" s="119"/>
      <c r="I978" s="75"/>
      <c r="J978" s="75"/>
      <c r="K978" s="74"/>
      <c r="L978" s="75"/>
      <c r="M978" s="99"/>
      <c r="S978" s="74"/>
    </row>
    <row r="979" spans="4:19" ht="26.1" customHeight="1" x14ac:dyDescent="0.25">
      <c r="D979" s="74"/>
      <c r="F979" s="19"/>
      <c r="H979" s="119"/>
      <c r="I979" s="75"/>
      <c r="J979" s="75"/>
      <c r="K979" s="74"/>
      <c r="L979" s="75"/>
      <c r="M979" s="99"/>
      <c r="S979" s="74"/>
    </row>
    <row r="980" spans="4:19" ht="26.1" customHeight="1" x14ac:dyDescent="0.25">
      <c r="D980" s="74"/>
      <c r="F980" s="19"/>
      <c r="H980" s="119"/>
      <c r="I980" s="75"/>
      <c r="J980" s="75"/>
      <c r="K980" s="74"/>
      <c r="L980" s="75"/>
      <c r="M980" s="99"/>
      <c r="S980" s="74"/>
    </row>
    <row r="981" spans="4:19" ht="26.1" customHeight="1" x14ac:dyDescent="0.25">
      <c r="D981" s="74"/>
      <c r="F981" s="19"/>
      <c r="H981" s="119"/>
      <c r="I981" s="75"/>
      <c r="J981" s="75"/>
      <c r="K981" s="74"/>
      <c r="L981" s="75"/>
      <c r="M981" s="99"/>
      <c r="S981" s="74"/>
    </row>
    <row r="982" spans="4:19" ht="26.1" customHeight="1" x14ac:dyDescent="0.25">
      <c r="D982" s="74"/>
      <c r="F982" s="19"/>
      <c r="H982" s="119"/>
      <c r="I982" s="75"/>
      <c r="J982" s="75"/>
      <c r="K982" s="74"/>
      <c r="L982" s="75"/>
      <c r="M982" s="99"/>
      <c r="S982" s="74"/>
    </row>
    <row r="983" spans="4:19" ht="26.1" customHeight="1" x14ac:dyDescent="0.25">
      <c r="D983" s="74"/>
      <c r="F983" s="19"/>
      <c r="H983" s="119"/>
      <c r="I983" s="75"/>
      <c r="J983" s="75"/>
      <c r="K983" s="74"/>
      <c r="L983" s="75"/>
      <c r="M983" s="99"/>
      <c r="S983" s="74"/>
    </row>
    <row r="984" spans="4:19" ht="26.1" customHeight="1" x14ac:dyDescent="0.25">
      <c r="D984" s="74"/>
      <c r="F984" s="19"/>
      <c r="H984" s="119"/>
      <c r="I984" s="75"/>
      <c r="J984" s="75"/>
      <c r="K984" s="74"/>
      <c r="L984" s="75"/>
      <c r="M984" s="99"/>
      <c r="S984" s="74"/>
    </row>
    <row r="985" spans="4:19" ht="26.1" customHeight="1" x14ac:dyDescent="0.25">
      <c r="D985" s="74"/>
      <c r="F985" s="19"/>
      <c r="H985" s="119"/>
      <c r="I985" s="75"/>
      <c r="J985" s="75"/>
      <c r="K985" s="74"/>
      <c r="L985" s="75"/>
      <c r="M985" s="99"/>
      <c r="S985" s="74"/>
    </row>
    <row r="986" spans="4:19" ht="26.1" customHeight="1" x14ac:dyDescent="0.25">
      <c r="D986" s="74"/>
      <c r="F986" s="19"/>
      <c r="H986" s="119"/>
      <c r="I986" s="75"/>
      <c r="J986" s="75"/>
      <c r="K986" s="74"/>
      <c r="L986" s="75"/>
      <c r="M986" s="99"/>
      <c r="S986" s="74"/>
    </row>
    <row r="987" spans="4:19" ht="26.1" customHeight="1" x14ac:dyDescent="0.25">
      <c r="D987" s="74"/>
      <c r="F987" s="19"/>
      <c r="H987" s="119"/>
      <c r="I987" s="75"/>
      <c r="J987" s="75"/>
      <c r="K987" s="74"/>
      <c r="L987" s="75"/>
      <c r="M987" s="99"/>
      <c r="S987" s="74"/>
    </row>
    <row r="988" spans="4:19" ht="26.1" customHeight="1" x14ac:dyDescent="0.25">
      <c r="D988" s="74"/>
      <c r="F988" s="19"/>
      <c r="H988" s="119"/>
      <c r="I988" s="75"/>
      <c r="J988" s="75"/>
      <c r="K988" s="74"/>
      <c r="L988" s="75"/>
      <c r="M988" s="99"/>
      <c r="S988" s="74"/>
    </row>
    <row r="989" spans="4:19" ht="26.1" customHeight="1" x14ac:dyDescent="0.25">
      <c r="D989" s="74"/>
      <c r="F989" s="19"/>
      <c r="H989" s="119"/>
      <c r="I989" s="75"/>
      <c r="J989" s="75"/>
      <c r="K989" s="74"/>
      <c r="L989" s="75"/>
      <c r="M989" s="99"/>
      <c r="S989" s="74"/>
    </row>
    <row r="990" spans="4:19" ht="26.1" customHeight="1" x14ac:dyDescent="0.25">
      <c r="D990" s="74"/>
      <c r="F990" s="19"/>
      <c r="H990" s="119"/>
      <c r="I990" s="75"/>
      <c r="J990" s="75"/>
      <c r="K990" s="74"/>
      <c r="L990" s="75"/>
      <c r="M990" s="99"/>
      <c r="S990" s="74"/>
    </row>
    <row r="991" spans="4:19" ht="26.1" customHeight="1" x14ac:dyDescent="0.25">
      <c r="D991" s="74"/>
      <c r="F991" s="19"/>
      <c r="H991" s="119"/>
      <c r="I991" s="75"/>
      <c r="J991" s="75"/>
      <c r="K991" s="74"/>
      <c r="L991" s="75"/>
      <c r="M991" s="99"/>
      <c r="S991" s="74"/>
    </row>
    <row r="992" spans="4:19" ht="26.1" customHeight="1" x14ac:dyDescent="0.25">
      <c r="D992" s="74"/>
      <c r="F992" s="19"/>
      <c r="H992" s="119"/>
      <c r="I992" s="75"/>
      <c r="J992" s="75"/>
      <c r="K992" s="74"/>
      <c r="L992" s="75"/>
      <c r="M992" s="99"/>
      <c r="S992" s="74"/>
    </row>
    <row r="993" spans="4:19" ht="26.1" customHeight="1" x14ac:dyDescent="0.25">
      <c r="D993" s="74"/>
      <c r="F993" s="19"/>
      <c r="H993" s="119"/>
      <c r="I993" s="75"/>
      <c r="J993" s="75"/>
      <c r="K993" s="74"/>
      <c r="L993" s="75"/>
      <c r="M993" s="99"/>
      <c r="S993" s="74"/>
    </row>
    <row r="994" spans="4:19" ht="26.1" customHeight="1" x14ac:dyDescent="0.25">
      <c r="D994" s="74"/>
      <c r="F994" s="19"/>
      <c r="H994" s="119"/>
      <c r="I994" s="75"/>
      <c r="J994" s="75"/>
      <c r="K994" s="74"/>
      <c r="L994" s="75"/>
      <c r="M994" s="99"/>
      <c r="S994" s="74"/>
    </row>
    <row r="995" spans="4:19" ht="26.1" customHeight="1" x14ac:dyDescent="0.25">
      <c r="D995" s="74"/>
      <c r="F995" s="19"/>
      <c r="H995" s="119"/>
      <c r="I995" s="75"/>
      <c r="J995" s="75"/>
      <c r="K995" s="74"/>
      <c r="L995" s="75"/>
      <c r="M995" s="99"/>
      <c r="S995" s="74"/>
    </row>
    <row r="996" spans="4:19" ht="26.1" customHeight="1" x14ac:dyDescent="0.25">
      <c r="D996" s="74"/>
      <c r="F996" s="19"/>
      <c r="H996" s="119"/>
      <c r="I996" s="75"/>
      <c r="J996" s="75"/>
      <c r="K996" s="74"/>
      <c r="L996" s="75"/>
      <c r="M996" s="99"/>
      <c r="S996" s="74"/>
    </row>
    <row r="997" spans="4:19" ht="26.1" customHeight="1" x14ac:dyDescent="0.25">
      <c r="D997" s="74"/>
      <c r="F997" s="19"/>
      <c r="H997" s="119"/>
      <c r="I997" s="75"/>
      <c r="J997" s="75"/>
      <c r="K997" s="74"/>
      <c r="L997" s="75"/>
      <c r="M997" s="99"/>
      <c r="S997" s="74"/>
    </row>
    <row r="998" spans="4:19" ht="26.1" customHeight="1" x14ac:dyDescent="0.25">
      <c r="D998" s="74"/>
      <c r="F998" s="19"/>
      <c r="H998" s="119"/>
      <c r="I998" s="75"/>
      <c r="J998" s="75"/>
      <c r="K998" s="74"/>
      <c r="L998" s="75"/>
      <c r="M998" s="99"/>
      <c r="S998" s="74"/>
    </row>
    <row r="999" spans="4:19" ht="26.1" customHeight="1" x14ac:dyDescent="0.25">
      <c r="D999" s="74"/>
      <c r="F999" s="19"/>
      <c r="H999" s="119"/>
      <c r="I999" s="75"/>
      <c r="J999" s="75"/>
      <c r="K999" s="74"/>
      <c r="L999" s="75"/>
      <c r="M999" s="99"/>
      <c r="S999" s="74"/>
    </row>
    <row r="1000" spans="4:19" ht="26.1" customHeight="1" x14ac:dyDescent="0.25">
      <c r="D1000" s="74"/>
      <c r="F1000" s="19"/>
      <c r="H1000" s="119"/>
      <c r="I1000" s="75"/>
      <c r="J1000" s="75"/>
      <c r="K1000" s="74"/>
      <c r="L1000" s="75"/>
      <c r="M1000" s="99"/>
      <c r="S1000" s="74"/>
    </row>
    <row r="1001" spans="4:19" ht="26.1" customHeight="1" x14ac:dyDescent="0.25">
      <c r="D1001" s="74"/>
      <c r="F1001" s="19"/>
      <c r="H1001" s="119"/>
      <c r="I1001" s="75"/>
      <c r="J1001" s="75"/>
      <c r="K1001" s="74"/>
      <c r="L1001" s="75"/>
      <c r="M1001" s="99"/>
      <c r="S1001" s="74"/>
    </row>
    <row r="1002" spans="4:19" ht="26.1" customHeight="1" x14ac:dyDescent="0.25">
      <c r="D1002" s="74"/>
      <c r="F1002" s="19"/>
      <c r="H1002" s="119"/>
      <c r="I1002" s="75"/>
      <c r="J1002" s="75"/>
      <c r="K1002" s="74"/>
      <c r="L1002" s="75"/>
      <c r="M1002" s="99"/>
      <c r="S1002" s="74"/>
    </row>
    <row r="1003" spans="4:19" ht="26.1" customHeight="1" x14ac:dyDescent="0.25">
      <c r="D1003" s="74"/>
      <c r="F1003" s="19"/>
      <c r="H1003" s="119"/>
      <c r="I1003" s="75"/>
      <c r="J1003" s="75"/>
      <c r="K1003" s="74"/>
      <c r="L1003" s="75"/>
      <c r="M1003" s="99"/>
      <c r="S1003" s="74"/>
    </row>
    <row r="1004" spans="4:19" ht="26.1" customHeight="1" x14ac:dyDescent="0.25">
      <c r="D1004" s="74"/>
      <c r="F1004" s="19"/>
      <c r="H1004" s="119"/>
      <c r="I1004" s="75"/>
      <c r="J1004" s="75"/>
      <c r="K1004" s="74"/>
      <c r="L1004" s="75"/>
      <c r="M1004" s="99"/>
      <c r="S1004" s="74"/>
    </row>
    <row r="1005" spans="4:19" ht="26.1" customHeight="1" x14ac:dyDescent="0.25">
      <c r="D1005" s="74"/>
      <c r="F1005" s="19"/>
      <c r="H1005" s="119"/>
      <c r="I1005" s="75"/>
      <c r="J1005" s="75"/>
      <c r="K1005" s="74"/>
      <c r="L1005" s="75"/>
      <c r="M1005" s="99"/>
      <c r="S1005" s="74"/>
    </row>
    <row r="1006" spans="4:19" ht="26.1" customHeight="1" x14ac:dyDescent="0.25">
      <c r="D1006" s="74"/>
      <c r="F1006" s="19"/>
      <c r="H1006" s="119"/>
      <c r="I1006" s="75"/>
      <c r="J1006" s="75"/>
      <c r="K1006" s="74"/>
      <c r="L1006" s="75"/>
      <c r="M1006" s="99"/>
      <c r="S1006" s="74"/>
    </row>
    <row r="1007" spans="4:19" ht="26.1" customHeight="1" x14ac:dyDescent="0.25">
      <c r="D1007" s="74"/>
      <c r="F1007" s="19"/>
      <c r="H1007" s="119"/>
      <c r="I1007" s="75"/>
      <c r="J1007" s="75"/>
      <c r="K1007" s="74"/>
      <c r="L1007" s="75"/>
      <c r="M1007" s="99"/>
      <c r="S1007" s="74"/>
    </row>
    <row r="1008" spans="4:19" ht="26.1" customHeight="1" x14ac:dyDescent="0.25">
      <c r="D1008" s="74"/>
      <c r="F1008" s="19"/>
      <c r="H1008" s="119"/>
      <c r="I1008" s="75"/>
      <c r="J1008" s="75"/>
      <c r="K1008" s="74"/>
      <c r="L1008" s="75"/>
      <c r="M1008" s="99"/>
      <c r="S1008" s="74"/>
    </row>
    <row r="1009" spans="4:19" ht="26.1" customHeight="1" x14ac:dyDescent="0.25">
      <c r="D1009" s="74"/>
      <c r="F1009" s="19"/>
      <c r="H1009" s="119"/>
      <c r="I1009" s="75"/>
      <c r="J1009" s="75"/>
      <c r="K1009" s="74"/>
      <c r="L1009" s="75"/>
      <c r="M1009" s="99"/>
      <c r="S1009" s="74"/>
    </row>
    <row r="1010" spans="4:19" ht="26.1" customHeight="1" x14ac:dyDescent="0.25">
      <c r="D1010" s="74"/>
      <c r="F1010" s="19"/>
      <c r="H1010" s="119"/>
      <c r="I1010" s="75"/>
      <c r="J1010" s="75"/>
      <c r="K1010" s="74"/>
      <c r="L1010" s="75"/>
      <c r="M1010" s="99"/>
      <c r="S1010" s="74"/>
    </row>
    <row r="1011" spans="4:19" ht="26.1" customHeight="1" x14ac:dyDescent="0.25">
      <c r="D1011" s="74"/>
      <c r="F1011" s="19"/>
      <c r="H1011" s="119"/>
      <c r="I1011" s="75"/>
      <c r="J1011" s="75"/>
      <c r="K1011" s="74"/>
      <c r="L1011" s="75"/>
      <c r="M1011" s="99"/>
      <c r="S1011" s="74"/>
    </row>
    <row r="1012" spans="4:19" ht="26.1" customHeight="1" x14ac:dyDescent="0.25">
      <c r="D1012" s="74"/>
      <c r="F1012" s="19"/>
      <c r="H1012" s="119"/>
      <c r="I1012" s="75"/>
      <c r="J1012" s="75"/>
      <c r="K1012" s="74"/>
      <c r="L1012" s="75"/>
      <c r="M1012" s="99"/>
      <c r="S1012" s="74"/>
    </row>
    <row r="1013" spans="4:19" ht="26.1" customHeight="1" x14ac:dyDescent="0.25">
      <c r="D1013" s="74"/>
      <c r="F1013" s="19"/>
      <c r="H1013" s="119"/>
      <c r="I1013" s="75"/>
      <c r="J1013" s="75"/>
      <c r="K1013" s="74"/>
      <c r="L1013" s="75"/>
      <c r="M1013" s="99"/>
      <c r="S1013" s="74"/>
    </row>
    <row r="1014" spans="4:19" ht="26.1" customHeight="1" x14ac:dyDescent="0.25">
      <c r="D1014" s="74"/>
      <c r="F1014" s="19"/>
      <c r="H1014" s="119"/>
      <c r="I1014" s="75"/>
      <c r="J1014" s="75"/>
      <c r="K1014" s="74"/>
      <c r="L1014" s="75"/>
      <c r="M1014" s="99"/>
      <c r="S1014" s="74"/>
    </row>
    <row r="1015" spans="4:19" ht="26.1" customHeight="1" x14ac:dyDescent="0.25">
      <c r="D1015" s="74"/>
      <c r="F1015" s="19"/>
      <c r="H1015" s="119"/>
      <c r="I1015" s="75"/>
      <c r="J1015" s="75"/>
      <c r="K1015" s="74"/>
      <c r="L1015" s="75"/>
      <c r="M1015" s="99"/>
      <c r="S1015" s="74"/>
    </row>
    <row r="1016" spans="4:19" ht="26.1" customHeight="1" x14ac:dyDescent="0.25">
      <c r="D1016" s="74"/>
      <c r="F1016" s="19"/>
      <c r="H1016" s="119"/>
      <c r="I1016" s="75"/>
      <c r="J1016" s="75"/>
      <c r="K1016" s="74"/>
      <c r="L1016" s="75"/>
      <c r="M1016" s="99"/>
      <c r="S1016" s="74"/>
    </row>
    <row r="1017" spans="4:19" ht="26.1" customHeight="1" x14ac:dyDescent="0.25">
      <c r="D1017" s="74"/>
      <c r="F1017" s="19"/>
      <c r="H1017" s="119"/>
      <c r="I1017" s="75"/>
      <c r="J1017" s="75"/>
      <c r="K1017" s="74"/>
      <c r="L1017" s="75"/>
      <c r="M1017" s="99"/>
      <c r="S1017" s="74"/>
    </row>
  </sheetData>
  <customSheetViews>
    <customSheetView guid="{2475EF64-AF17-4A2D-9C44-7B84D6678F02}" showPageBreaks="1" fitToPage="1" printArea="1" hiddenRows="1" hiddenColumns="1" topLeftCell="A10">
      <pane xSplit="5" ySplit="7" topLeftCell="F159" activePane="bottomRight" state="frozen"/>
      <selection pane="bottomRight" activeCell="P180" sqref="P178:P180"/>
      <pageMargins left="0.24" right="0.17" top="0.39999999999999997" bottom="0.16" header="0.3" footer="0.16"/>
      <pageSetup paperSize="5" scale="41" fitToHeight="6" orientation="landscape" r:id="rId1"/>
    </customSheetView>
  </customSheetViews>
  <mergeCells count="28">
    <mergeCell ref="W7:W10"/>
    <mergeCell ref="T7:T10"/>
    <mergeCell ref="A1:W1"/>
    <mergeCell ref="D7:D10"/>
    <mergeCell ref="E7:E10"/>
    <mergeCell ref="A6:W6"/>
    <mergeCell ref="A5:W5"/>
    <mergeCell ref="F7:I8"/>
    <mergeCell ref="A7:A10"/>
    <mergeCell ref="B7:B10"/>
    <mergeCell ref="A3:B3"/>
    <mergeCell ref="S7:S10"/>
    <mergeCell ref="C7:C10"/>
    <mergeCell ref="V7:V10"/>
    <mergeCell ref="U7:U10"/>
    <mergeCell ref="A2:W2"/>
    <mergeCell ref="R7:R10"/>
    <mergeCell ref="Q7:Q10"/>
    <mergeCell ref="N7:N10"/>
    <mergeCell ref="O7:P8"/>
    <mergeCell ref="M7:M10"/>
    <mergeCell ref="F9:F10"/>
    <mergeCell ref="H9:H10"/>
    <mergeCell ref="K7:K10"/>
    <mergeCell ref="L7:L10"/>
    <mergeCell ref="I9:I10"/>
    <mergeCell ref="G9:G10"/>
    <mergeCell ref="J8:J10"/>
  </mergeCells>
  <phoneticPr fontId="23" type="noConversion"/>
  <dataValidations count="1">
    <dataValidation type="list" allowBlank="1" showInputMessage="1" showErrorMessage="1" sqref="E13:E14" xr:uid="{A214E114-819A-437E-BB36-C267DC9DFFCD}">
      <formula1>#REF!</formula1>
    </dataValidation>
  </dataValidations>
  <pageMargins left="0.24" right="0.17" top="0.25" bottom="0.3" header="0.23" footer="0.16"/>
  <pageSetup paperSize="5" scale="39" fitToHeight="6" orientation="landscape" r:id="rId2"/>
  <headerFooter>
    <oddFooter>&amp;C&amp;P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  <pageSetUpPr fitToPage="1"/>
  </sheetPr>
  <dimension ref="A1:AB142"/>
  <sheetViews>
    <sheetView zoomScale="80" zoomScaleNormal="80" zoomScaleSheetLayoutView="50" workbookViewId="0">
      <selection activeCell="I16" sqref="I16"/>
    </sheetView>
  </sheetViews>
  <sheetFormatPr defaultColWidth="6.88671875" defaultRowHeight="35.1" customHeight="1" x14ac:dyDescent="0.25"/>
  <cols>
    <col min="1" max="1" width="7.6640625" style="18" customWidth="1"/>
    <col min="2" max="2" width="36.5546875" style="41" customWidth="1"/>
    <col min="3" max="3" width="43.5546875" style="41" customWidth="1"/>
    <col min="4" max="4" width="17.109375" style="13" bestFit="1" customWidth="1"/>
    <col min="5" max="5" width="15.88671875" style="41" bestFit="1" customWidth="1"/>
    <col min="6" max="6" width="10.109375" style="13" customWidth="1"/>
    <col min="7" max="7" width="14.5546875" style="42" bestFit="1" customWidth="1"/>
    <col min="8" max="8" width="16.6640625" style="42" customWidth="1"/>
    <col min="9" max="9" width="42" style="42" bestFit="1" customWidth="1"/>
    <col min="10" max="10" width="15.88671875" style="83" bestFit="1" customWidth="1"/>
    <col min="11" max="11" width="9.6640625" style="83" customWidth="1"/>
    <col min="12" max="12" width="17.5546875" style="41" customWidth="1"/>
    <col min="13" max="13" width="7.6640625" style="41" bestFit="1" customWidth="1"/>
    <col min="14" max="14" width="16.44140625" style="82" customWidth="1"/>
    <col min="15" max="15" width="12.109375" style="82" bestFit="1" customWidth="1"/>
    <col min="16" max="16" width="15.88671875" style="73" bestFit="1" customWidth="1"/>
    <col min="17" max="17" width="20.44140625" style="82" customWidth="1"/>
    <col min="18" max="18" width="15" style="82" bestFit="1" customWidth="1"/>
    <col min="19" max="19" width="18" style="41" bestFit="1" customWidth="1"/>
    <col min="20" max="21" width="14.5546875" style="82" customWidth="1"/>
    <col min="22" max="22" width="20.88671875" style="41" customWidth="1"/>
    <col min="23" max="23" width="16.6640625" style="41" bestFit="1" customWidth="1"/>
    <col min="24" max="24" width="18" style="3" bestFit="1" customWidth="1"/>
    <col min="25" max="25" width="21" style="42" bestFit="1" customWidth="1"/>
    <col min="26" max="26" width="15.88671875" style="42" bestFit="1" customWidth="1"/>
    <col min="27" max="27" width="15.5546875" style="42" bestFit="1" customWidth="1"/>
    <col min="28" max="28" width="18" style="42" bestFit="1" customWidth="1"/>
    <col min="29" max="29" width="12.88671875" style="41" bestFit="1" customWidth="1"/>
    <col min="30" max="16384" width="6.88671875" style="41"/>
  </cols>
  <sheetData>
    <row r="1" spans="1:28" ht="35.1" customHeight="1" x14ac:dyDescent="0.25">
      <c r="A1" s="342" t="s">
        <v>30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  <c r="Y1" s="342"/>
      <c r="Z1" s="342"/>
      <c r="AA1" s="342"/>
      <c r="AB1" s="342"/>
    </row>
    <row r="2" spans="1:28" ht="35.1" customHeight="1" x14ac:dyDescent="0.25">
      <c r="A2" s="342" t="s">
        <v>31</v>
      </c>
      <c r="B2" s="342"/>
      <c r="C2" s="342"/>
      <c r="D2" s="342"/>
      <c r="E2" s="342"/>
      <c r="F2" s="342"/>
      <c r="G2" s="342"/>
      <c r="H2" s="342"/>
      <c r="I2" s="342"/>
      <c r="J2" s="342"/>
      <c r="K2" s="342"/>
      <c r="L2" s="342"/>
      <c r="M2" s="342"/>
      <c r="N2" s="342"/>
      <c r="O2" s="342"/>
      <c r="P2" s="342"/>
      <c r="Q2" s="342"/>
      <c r="R2" s="342"/>
      <c r="S2" s="342"/>
      <c r="T2" s="342"/>
      <c r="U2" s="342"/>
      <c r="V2" s="342"/>
      <c r="W2" s="342"/>
      <c r="X2" s="342"/>
      <c r="Y2" s="342"/>
      <c r="Z2" s="342"/>
      <c r="AA2" s="342"/>
      <c r="AB2" s="342"/>
    </row>
    <row r="3" spans="1:28" ht="35.1" customHeight="1" x14ac:dyDescent="0.25">
      <c r="A3" s="385" t="s">
        <v>32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5"/>
      <c r="O3" s="385"/>
      <c r="P3" s="385"/>
      <c r="Q3" s="385"/>
      <c r="R3" s="385"/>
      <c r="S3" s="385"/>
      <c r="T3" s="385"/>
      <c r="U3" s="385"/>
      <c r="V3" s="385"/>
      <c r="W3" s="385"/>
      <c r="X3" s="385"/>
      <c r="Y3" s="385"/>
      <c r="Z3" s="385"/>
      <c r="AA3" s="385"/>
      <c r="AB3" s="385"/>
    </row>
    <row r="4" spans="1:28" ht="35.1" customHeight="1" x14ac:dyDescent="0.25">
      <c r="A4" s="385" t="s">
        <v>34</v>
      </c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</row>
    <row r="5" spans="1:28" ht="35.1" customHeight="1" x14ac:dyDescent="0.25">
      <c r="A5" s="342" t="s">
        <v>50</v>
      </c>
      <c r="B5" s="342"/>
      <c r="C5" s="342"/>
      <c r="D5" s="342"/>
      <c r="E5" s="342"/>
      <c r="F5" s="342"/>
      <c r="G5" s="342"/>
      <c r="H5" s="342"/>
      <c r="I5" s="342"/>
      <c r="J5" s="342"/>
      <c r="K5" s="342"/>
      <c r="L5" s="342"/>
      <c r="M5" s="342"/>
      <c r="N5" s="342"/>
      <c r="O5" s="342"/>
      <c r="P5" s="342"/>
      <c r="Q5" s="342"/>
      <c r="R5" s="342"/>
      <c r="S5" s="342"/>
      <c r="T5" s="342"/>
      <c r="U5" s="342"/>
      <c r="V5" s="342"/>
      <c r="W5" s="342"/>
      <c r="X5" s="342"/>
      <c r="Y5" s="342"/>
      <c r="Z5" s="342"/>
      <c r="AA5" s="342"/>
      <c r="AB5" s="342"/>
    </row>
    <row r="6" spans="1:28" ht="35.1" customHeight="1" x14ac:dyDescent="0.25">
      <c r="A6" s="381" t="str">
        <f>Ground!A6</f>
        <v>ຕົວຢ່າງ ໂຄງເງິນເດືອນ</v>
      </c>
      <c r="B6" s="381"/>
      <c r="C6" s="381"/>
      <c r="D6" s="381"/>
      <c r="E6" s="381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81"/>
      <c r="T6" s="381"/>
      <c r="U6" s="381"/>
      <c r="V6" s="381"/>
      <c r="W6" s="381"/>
      <c r="X6" s="381"/>
      <c r="Y6" s="381"/>
      <c r="Z6" s="381"/>
      <c r="AA6" s="381"/>
      <c r="AB6" s="381"/>
    </row>
    <row r="7" spans="1:28" ht="35.1" customHeight="1" x14ac:dyDescent="0.25">
      <c r="A7" s="362" t="s">
        <v>3</v>
      </c>
      <c r="B7" s="382" t="s">
        <v>4</v>
      </c>
      <c r="C7" s="357" t="s">
        <v>18</v>
      </c>
      <c r="D7" s="357" t="s">
        <v>17</v>
      </c>
      <c r="E7" s="357" t="s">
        <v>37</v>
      </c>
      <c r="F7" s="357" t="s">
        <v>11</v>
      </c>
      <c r="G7" s="359" t="s">
        <v>38</v>
      </c>
      <c r="H7" s="359" t="s">
        <v>12</v>
      </c>
      <c r="I7" s="357" t="s">
        <v>14</v>
      </c>
      <c r="J7" s="359" t="s">
        <v>13</v>
      </c>
      <c r="K7" s="353" t="s">
        <v>39</v>
      </c>
      <c r="L7" s="354"/>
      <c r="M7" s="353" t="s">
        <v>40</v>
      </c>
      <c r="N7" s="354"/>
      <c r="O7" s="38" t="s">
        <v>55</v>
      </c>
      <c r="P7" s="357" t="s">
        <v>120</v>
      </c>
      <c r="Q7" s="357" t="s">
        <v>121</v>
      </c>
      <c r="R7" s="359" t="s">
        <v>119</v>
      </c>
      <c r="S7" s="357" t="s">
        <v>42</v>
      </c>
      <c r="T7" s="386" t="s">
        <v>20</v>
      </c>
      <c r="U7" s="387"/>
      <c r="V7" s="357" t="s">
        <v>43</v>
      </c>
      <c r="W7" s="357" t="s">
        <v>44</v>
      </c>
      <c r="X7" s="357" t="s">
        <v>45</v>
      </c>
      <c r="Y7" s="357" t="s">
        <v>35</v>
      </c>
      <c r="Z7" s="357" t="s">
        <v>53</v>
      </c>
      <c r="AA7" s="357" t="s">
        <v>81</v>
      </c>
      <c r="AB7" s="357" t="s">
        <v>46</v>
      </c>
    </row>
    <row r="8" spans="1:28" s="42" customFormat="1" ht="35.1" customHeight="1" x14ac:dyDescent="0.25">
      <c r="A8" s="363"/>
      <c r="B8" s="383"/>
      <c r="C8" s="358"/>
      <c r="D8" s="358"/>
      <c r="E8" s="358"/>
      <c r="F8" s="358"/>
      <c r="G8" s="360"/>
      <c r="H8" s="360"/>
      <c r="I8" s="358"/>
      <c r="J8" s="360"/>
      <c r="K8" s="355"/>
      <c r="L8" s="356"/>
      <c r="M8" s="355"/>
      <c r="N8" s="356"/>
      <c r="O8" s="43">
        <v>30920</v>
      </c>
      <c r="P8" s="358"/>
      <c r="Q8" s="358"/>
      <c r="R8" s="360"/>
      <c r="S8" s="358"/>
      <c r="T8" s="388"/>
      <c r="U8" s="389"/>
      <c r="V8" s="358"/>
      <c r="W8" s="358"/>
      <c r="X8" s="358"/>
      <c r="Y8" s="358"/>
      <c r="Z8" s="358"/>
      <c r="AA8" s="358"/>
      <c r="AB8" s="358"/>
    </row>
    <row r="9" spans="1:28" s="42" customFormat="1" ht="48" customHeight="1" x14ac:dyDescent="0.25">
      <c r="A9" s="373"/>
      <c r="B9" s="384"/>
      <c r="C9" s="361"/>
      <c r="D9" s="361"/>
      <c r="E9" s="361"/>
      <c r="F9" s="361"/>
      <c r="G9" s="377"/>
      <c r="H9" s="377"/>
      <c r="I9" s="361"/>
      <c r="J9" s="377"/>
      <c r="K9" s="85" t="s">
        <v>100</v>
      </c>
      <c r="L9" s="14" t="s">
        <v>5</v>
      </c>
      <c r="M9" s="14" t="s">
        <v>51</v>
      </c>
      <c r="N9" s="14" t="s">
        <v>5</v>
      </c>
      <c r="O9" s="20"/>
      <c r="P9" s="361"/>
      <c r="Q9" s="361"/>
      <c r="R9" s="377"/>
      <c r="S9" s="361"/>
      <c r="T9" s="39" t="s">
        <v>21</v>
      </c>
      <c r="U9" s="44" t="s">
        <v>22</v>
      </c>
      <c r="V9" s="358"/>
      <c r="W9" s="358"/>
      <c r="X9" s="358"/>
      <c r="Y9" s="358"/>
      <c r="Z9" s="358"/>
      <c r="AA9" s="358"/>
      <c r="AB9" s="358"/>
    </row>
    <row r="10" spans="1:28" s="42" customFormat="1" ht="15" customHeight="1" x14ac:dyDescent="0.25">
      <c r="A10" s="77"/>
      <c r="B10" s="77"/>
      <c r="C10" s="78"/>
      <c r="D10" s="78"/>
      <c r="E10" s="79">
        <v>1</v>
      </c>
      <c r="F10" s="78"/>
      <c r="G10" s="79">
        <v>2</v>
      </c>
      <c r="H10" s="79">
        <v>3</v>
      </c>
      <c r="I10" s="78"/>
      <c r="J10" s="79">
        <v>4</v>
      </c>
      <c r="K10" s="79"/>
      <c r="L10" s="77">
        <v>5</v>
      </c>
      <c r="M10" s="77"/>
      <c r="N10" s="77">
        <v>6</v>
      </c>
      <c r="O10" s="77"/>
      <c r="P10" s="77">
        <v>7</v>
      </c>
      <c r="Q10" s="77">
        <v>8</v>
      </c>
      <c r="R10" s="79">
        <v>9</v>
      </c>
      <c r="S10" s="78">
        <v>10</v>
      </c>
      <c r="T10" s="77" t="s">
        <v>91</v>
      </c>
      <c r="U10" s="77" t="s">
        <v>97</v>
      </c>
      <c r="V10" s="78" t="s">
        <v>98</v>
      </c>
      <c r="W10" s="78">
        <v>14</v>
      </c>
      <c r="X10" s="78" t="s">
        <v>94</v>
      </c>
      <c r="Y10" s="78">
        <v>16</v>
      </c>
      <c r="Z10" s="78" t="s">
        <v>99</v>
      </c>
      <c r="AA10" s="78">
        <v>18</v>
      </c>
      <c r="AB10" s="78" t="s">
        <v>96</v>
      </c>
    </row>
    <row r="11" spans="1:28" s="48" customFormat="1" ht="35.1" customHeight="1" x14ac:dyDescent="0.25">
      <c r="A11" s="88"/>
      <c r="B11" s="89" t="s">
        <v>49</v>
      </c>
      <c r="C11" s="90"/>
      <c r="D11" s="81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47"/>
      <c r="S11" s="52"/>
      <c r="T11" s="47"/>
      <c r="U11" s="47"/>
      <c r="V11" s="52"/>
      <c r="W11" s="52"/>
      <c r="X11" s="52"/>
      <c r="Y11" s="52"/>
      <c r="Z11" s="52"/>
      <c r="AA11" s="52"/>
      <c r="AB11" s="52"/>
    </row>
    <row r="12" spans="1:28" ht="35.1" customHeight="1" x14ac:dyDescent="0.25">
      <c r="A12" s="16">
        <v>12</v>
      </c>
      <c r="B12" s="1" t="s">
        <v>130</v>
      </c>
      <c r="C12" s="1" t="s">
        <v>102</v>
      </c>
      <c r="D12" s="68" t="s">
        <v>8</v>
      </c>
      <c r="E12" s="123">
        <v>2926000</v>
      </c>
      <c r="F12" s="12">
        <v>17</v>
      </c>
      <c r="G12" s="5">
        <v>310000</v>
      </c>
      <c r="H12" s="5">
        <v>650000</v>
      </c>
      <c r="I12" s="134" t="s">
        <v>24</v>
      </c>
      <c r="J12" s="133">
        <v>12354906.816</v>
      </c>
      <c r="K12" s="5">
        <v>200</v>
      </c>
      <c r="L12" s="5">
        <v>14039666.836363636</v>
      </c>
      <c r="M12" s="4">
        <v>3</v>
      </c>
      <c r="N12" s="4">
        <v>45000</v>
      </c>
      <c r="O12" s="4">
        <v>40</v>
      </c>
      <c r="P12" s="4">
        <v>1236800</v>
      </c>
      <c r="Q12" s="4"/>
      <c r="R12" s="4"/>
      <c r="S12" s="124">
        <v>31562373.652363636</v>
      </c>
      <c r="T12" s="4">
        <v>247500</v>
      </c>
      <c r="U12" s="4">
        <v>270000</v>
      </c>
      <c r="V12" s="4">
        <v>31314873.652363636</v>
      </c>
      <c r="W12" s="8">
        <v>3887974.7304727272</v>
      </c>
      <c r="X12" s="8">
        <v>27426898.921890907</v>
      </c>
      <c r="Y12" s="8">
        <v>20000</v>
      </c>
      <c r="Z12" s="8">
        <v>1236800</v>
      </c>
      <c r="AA12" s="8"/>
      <c r="AB12" s="8">
        <v>26170098.920000002</v>
      </c>
    </row>
    <row r="13" spans="1:28" ht="35.1" customHeight="1" x14ac:dyDescent="0.25">
      <c r="A13" s="16">
        <v>14</v>
      </c>
      <c r="B13" s="1" t="s">
        <v>131</v>
      </c>
      <c r="C13" s="1" t="s">
        <v>27</v>
      </c>
      <c r="D13" s="68" t="s">
        <v>7</v>
      </c>
      <c r="E13" s="123">
        <v>2878500</v>
      </c>
      <c r="F13" s="12">
        <v>14</v>
      </c>
      <c r="G13" s="5">
        <v>230000</v>
      </c>
      <c r="H13" s="5">
        <v>650000</v>
      </c>
      <c r="I13" s="134" t="s">
        <v>24</v>
      </c>
      <c r="J13" s="133">
        <v>11766577.92</v>
      </c>
      <c r="K13" s="5">
        <v>198</v>
      </c>
      <c r="L13" s="5">
        <v>13237400.16</v>
      </c>
      <c r="M13" s="4">
        <v>29</v>
      </c>
      <c r="N13" s="4">
        <v>435000</v>
      </c>
      <c r="O13" s="4">
        <v>40</v>
      </c>
      <c r="P13" s="4">
        <v>1236800</v>
      </c>
      <c r="Q13" s="4"/>
      <c r="R13" s="4"/>
      <c r="S13" s="124">
        <v>30434278.079999998</v>
      </c>
      <c r="T13" s="4">
        <v>247500</v>
      </c>
      <c r="U13" s="4">
        <v>270000</v>
      </c>
      <c r="V13" s="4">
        <v>30186778.079999998</v>
      </c>
      <c r="W13" s="8">
        <v>3662355.6159999995</v>
      </c>
      <c r="X13" s="8">
        <v>26524422.463999998</v>
      </c>
      <c r="Y13" s="8">
        <v>755000</v>
      </c>
      <c r="Z13" s="8">
        <v>1236800</v>
      </c>
      <c r="AA13" s="8"/>
      <c r="AB13" s="8">
        <v>24532622.460000001</v>
      </c>
    </row>
    <row r="14" spans="1:28" ht="35.1" customHeight="1" x14ac:dyDescent="0.25">
      <c r="D14" s="18"/>
      <c r="F14" s="18"/>
      <c r="G14" s="41"/>
      <c r="H14" s="41"/>
      <c r="I14" s="41"/>
      <c r="J14" s="87"/>
      <c r="K14" s="87"/>
      <c r="N14" s="87"/>
      <c r="O14" s="87"/>
      <c r="P14" s="87"/>
      <c r="Q14" s="87"/>
      <c r="R14" s="87"/>
      <c r="T14" s="87"/>
      <c r="U14" s="87"/>
      <c r="X14" s="6"/>
      <c r="Y14" s="41"/>
      <c r="Z14" s="41"/>
      <c r="AA14" s="41"/>
      <c r="AB14" s="41"/>
    </row>
    <row r="15" spans="1:28" ht="35.1" customHeight="1" x14ac:dyDescent="0.25">
      <c r="D15" s="18"/>
      <c r="F15" s="18"/>
      <c r="G15" s="41"/>
      <c r="H15" s="41"/>
      <c r="I15" s="41"/>
      <c r="J15" s="87"/>
      <c r="K15" s="87"/>
      <c r="N15" s="87"/>
      <c r="O15" s="87"/>
      <c r="P15" s="87"/>
      <c r="Q15" s="87"/>
      <c r="R15" s="87"/>
      <c r="T15" s="87"/>
      <c r="U15" s="87"/>
      <c r="X15" s="6"/>
      <c r="Y15" s="41"/>
      <c r="Z15" s="41"/>
      <c r="AA15" s="41"/>
      <c r="AB15" s="41"/>
    </row>
    <row r="16" spans="1:28" ht="35.1" customHeight="1" x14ac:dyDescent="0.25">
      <c r="D16" s="18"/>
      <c r="F16" s="18"/>
      <c r="G16" s="41"/>
      <c r="H16" s="41"/>
      <c r="I16" s="41"/>
      <c r="J16" s="87"/>
      <c r="K16" s="87"/>
      <c r="N16" s="87"/>
      <c r="O16" s="87"/>
      <c r="P16" s="87"/>
      <c r="Q16" s="87"/>
      <c r="R16" s="87"/>
      <c r="T16" s="87"/>
      <c r="U16" s="87"/>
      <c r="X16" s="6"/>
      <c r="Y16" s="41"/>
      <c r="Z16" s="41"/>
      <c r="AA16" s="41"/>
      <c r="AB16" s="41"/>
    </row>
    <row r="17" spans="1:24" s="41" customFormat="1" ht="35.1" customHeight="1" x14ac:dyDescent="0.25">
      <c r="A17" s="18"/>
      <c r="D17" s="18"/>
      <c r="F17" s="18"/>
      <c r="J17" s="87"/>
      <c r="K17" s="87"/>
      <c r="N17" s="87"/>
      <c r="O17" s="87"/>
      <c r="P17" s="87"/>
      <c r="Q17" s="87"/>
      <c r="R17" s="87"/>
      <c r="T17" s="87"/>
      <c r="U17" s="87"/>
      <c r="X17" s="6"/>
    </row>
    <row r="18" spans="1:24" s="41" customFormat="1" ht="35.1" customHeight="1" x14ac:dyDescent="0.25">
      <c r="A18" s="18"/>
      <c r="D18" s="18"/>
      <c r="F18" s="18"/>
      <c r="J18" s="87"/>
      <c r="K18" s="87"/>
      <c r="N18" s="87"/>
      <c r="O18" s="87"/>
      <c r="P18" s="87"/>
      <c r="Q18" s="87"/>
      <c r="R18" s="87"/>
      <c r="T18" s="87"/>
      <c r="U18" s="87"/>
      <c r="X18" s="6"/>
    </row>
    <row r="19" spans="1:24" s="41" customFormat="1" ht="35.1" customHeight="1" x14ac:dyDescent="0.25">
      <c r="A19" s="18"/>
      <c r="D19" s="18"/>
      <c r="F19" s="18"/>
      <c r="J19" s="87"/>
      <c r="K19" s="87"/>
      <c r="N19" s="87"/>
      <c r="O19" s="87"/>
      <c r="P19" s="87"/>
      <c r="Q19" s="87"/>
      <c r="R19" s="87"/>
      <c r="T19" s="87"/>
      <c r="U19" s="87"/>
      <c r="X19" s="6"/>
    </row>
    <row r="20" spans="1:24" s="41" customFormat="1" ht="35.1" customHeight="1" x14ac:dyDescent="0.25">
      <c r="A20" s="18"/>
      <c r="D20" s="18"/>
      <c r="F20" s="18"/>
      <c r="J20" s="87"/>
      <c r="K20" s="87"/>
      <c r="N20" s="87"/>
      <c r="O20" s="87"/>
      <c r="P20" s="87"/>
      <c r="Q20" s="87"/>
      <c r="R20" s="87"/>
      <c r="T20" s="87"/>
      <c r="U20" s="87"/>
      <c r="X20" s="6"/>
    </row>
    <row r="21" spans="1:24" s="41" customFormat="1" ht="35.1" customHeight="1" x14ac:dyDescent="0.25">
      <c r="A21" s="18"/>
      <c r="D21" s="18"/>
      <c r="F21" s="18"/>
      <c r="J21" s="87"/>
      <c r="K21" s="87"/>
      <c r="N21" s="87"/>
      <c r="O21" s="87"/>
      <c r="P21" s="87"/>
      <c r="Q21" s="87"/>
      <c r="R21" s="87"/>
      <c r="T21" s="87"/>
      <c r="U21" s="87"/>
      <c r="X21" s="6"/>
    </row>
    <row r="22" spans="1:24" s="41" customFormat="1" ht="35.1" customHeight="1" x14ac:dyDescent="0.25">
      <c r="A22" s="18"/>
      <c r="D22" s="18"/>
      <c r="F22" s="18"/>
      <c r="J22" s="87"/>
      <c r="K22" s="87"/>
      <c r="N22" s="87"/>
      <c r="O22" s="87"/>
      <c r="P22" s="87"/>
      <c r="Q22" s="87"/>
      <c r="R22" s="87"/>
      <c r="T22" s="87"/>
      <c r="U22" s="87"/>
      <c r="X22" s="6"/>
    </row>
    <row r="23" spans="1:24" s="41" customFormat="1" ht="35.1" customHeight="1" x14ac:dyDescent="0.25">
      <c r="A23" s="18"/>
      <c r="D23" s="18"/>
      <c r="F23" s="18"/>
      <c r="J23" s="87"/>
      <c r="K23" s="87"/>
      <c r="N23" s="87"/>
      <c r="O23" s="87"/>
      <c r="P23" s="87"/>
      <c r="Q23" s="87"/>
      <c r="R23" s="87"/>
      <c r="T23" s="87"/>
      <c r="U23" s="87"/>
      <c r="X23" s="6"/>
    </row>
    <row r="24" spans="1:24" s="41" customFormat="1" ht="35.1" customHeight="1" x14ac:dyDescent="0.25">
      <c r="A24" s="18"/>
      <c r="D24" s="18"/>
      <c r="F24" s="18"/>
      <c r="J24" s="87"/>
      <c r="K24" s="87"/>
      <c r="N24" s="87"/>
      <c r="O24" s="87"/>
      <c r="P24" s="87"/>
      <c r="Q24" s="87"/>
      <c r="R24" s="87"/>
      <c r="T24" s="87"/>
      <c r="U24" s="87"/>
      <c r="X24" s="6"/>
    </row>
    <row r="25" spans="1:24" s="41" customFormat="1" ht="35.1" customHeight="1" x14ac:dyDescent="0.25">
      <c r="A25" s="18"/>
      <c r="D25" s="18"/>
      <c r="F25" s="18"/>
      <c r="J25" s="87"/>
      <c r="K25" s="87"/>
      <c r="N25" s="87"/>
      <c r="O25" s="87"/>
      <c r="P25" s="87"/>
      <c r="Q25" s="87"/>
      <c r="R25" s="87"/>
      <c r="T25" s="87"/>
      <c r="U25" s="87"/>
      <c r="X25" s="6"/>
    </row>
    <row r="26" spans="1:24" s="41" customFormat="1" ht="35.1" customHeight="1" x14ac:dyDescent="0.25">
      <c r="A26" s="18"/>
      <c r="D26" s="18"/>
      <c r="F26" s="18"/>
      <c r="J26" s="87"/>
      <c r="K26" s="87"/>
      <c r="N26" s="87"/>
      <c r="O26" s="87"/>
      <c r="P26" s="87"/>
      <c r="Q26" s="87"/>
      <c r="R26" s="87"/>
      <c r="T26" s="87"/>
      <c r="U26" s="87"/>
      <c r="X26" s="6"/>
    </row>
    <row r="27" spans="1:24" s="41" customFormat="1" ht="35.1" customHeight="1" x14ac:dyDescent="0.25">
      <c r="A27" s="18"/>
      <c r="D27" s="18"/>
      <c r="F27" s="18"/>
      <c r="J27" s="87"/>
      <c r="K27" s="87"/>
      <c r="N27" s="87"/>
      <c r="O27" s="87"/>
      <c r="P27" s="87"/>
      <c r="Q27" s="87"/>
      <c r="R27" s="87"/>
      <c r="T27" s="87"/>
      <c r="U27" s="87"/>
      <c r="X27" s="6"/>
    </row>
    <row r="28" spans="1:24" s="41" customFormat="1" ht="35.1" customHeight="1" x14ac:dyDescent="0.25">
      <c r="A28" s="18"/>
      <c r="D28" s="18"/>
      <c r="F28" s="18"/>
      <c r="J28" s="87"/>
      <c r="K28" s="87"/>
      <c r="N28" s="87"/>
      <c r="O28" s="87"/>
      <c r="P28" s="87"/>
      <c r="Q28" s="87"/>
      <c r="R28" s="87"/>
      <c r="T28" s="87"/>
      <c r="U28" s="87"/>
      <c r="X28" s="6"/>
    </row>
    <row r="29" spans="1:24" s="41" customFormat="1" ht="35.1" customHeight="1" x14ac:dyDescent="0.25">
      <c r="A29" s="18"/>
      <c r="D29" s="18"/>
      <c r="F29" s="18"/>
      <c r="J29" s="87"/>
      <c r="K29" s="87"/>
      <c r="N29" s="87"/>
      <c r="O29" s="87"/>
      <c r="P29" s="87"/>
      <c r="Q29" s="87"/>
      <c r="R29" s="87"/>
      <c r="T29" s="87"/>
      <c r="U29" s="87"/>
      <c r="X29" s="6"/>
    </row>
    <row r="30" spans="1:24" s="41" customFormat="1" ht="35.1" customHeight="1" x14ac:dyDescent="0.25">
      <c r="A30" s="18"/>
      <c r="D30" s="18"/>
      <c r="F30" s="18"/>
      <c r="J30" s="87"/>
      <c r="K30" s="87"/>
      <c r="N30" s="87"/>
      <c r="O30" s="87"/>
      <c r="P30" s="87"/>
      <c r="Q30" s="87"/>
      <c r="R30" s="87"/>
      <c r="T30" s="87"/>
      <c r="U30" s="87"/>
      <c r="X30" s="6"/>
    </row>
    <row r="31" spans="1:24" s="41" customFormat="1" ht="35.1" customHeight="1" x14ac:dyDescent="0.25">
      <c r="A31" s="18"/>
      <c r="D31" s="18"/>
      <c r="F31" s="18"/>
      <c r="J31" s="87"/>
      <c r="K31" s="87"/>
      <c r="N31" s="87"/>
      <c r="O31" s="87"/>
      <c r="P31" s="87"/>
      <c r="Q31" s="87"/>
      <c r="R31" s="87"/>
      <c r="T31" s="87"/>
      <c r="U31" s="87"/>
      <c r="X31" s="6"/>
    </row>
    <row r="32" spans="1:24" s="41" customFormat="1" ht="35.1" customHeight="1" x14ac:dyDescent="0.25">
      <c r="A32" s="18"/>
      <c r="D32" s="18"/>
      <c r="F32" s="18"/>
      <c r="J32" s="87"/>
      <c r="K32" s="87"/>
      <c r="N32" s="87"/>
      <c r="O32" s="87"/>
      <c r="P32" s="87"/>
      <c r="Q32" s="87"/>
      <c r="R32" s="87"/>
      <c r="T32" s="87"/>
      <c r="U32" s="87"/>
      <c r="X32" s="6"/>
    </row>
    <row r="33" spans="1:24" s="41" customFormat="1" ht="35.1" customHeight="1" x14ac:dyDescent="0.25">
      <c r="A33" s="18"/>
      <c r="D33" s="18"/>
      <c r="F33" s="18"/>
      <c r="J33" s="87"/>
      <c r="K33" s="87"/>
      <c r="N33" s="87"/>
      <c r="O33" s="87"/>
      <c r="P33" s="87"/>
      <c r="Q33" s="87"/>
      <c r="R33" s="87"/>
      <c r="T33" s="87"/>
      <c r="U33" s="87"/>
      <c r="X33" s="6"/>
    </row>
    <row r="34" spans="1:24" s="41" customFormat="1" ht="35.1" customHeight="1" x14ac:dyDescent="0.25">
      <c r="A34" s="18"/>
      <c r="D34" s="18"/>
      <c r="F34" s="18"/>
      <c r="J34" s="87"/>
      <c r="K34" s="87"/>
      <c r="N34" s="87"/>
      <c r="O34" s="87"/>
      <c r="P34" s="87"/>
      <c r="Q34" s="87"/>
      <c r="R34" s="87"/>
      <c r="T34" s="87"/>
      <c r="U34" s="87"/>
      <c r="X34" s="6"/>
    </row>
    <row r="35" spans="1:24" s="41" customFormat="1" ht="35.1" customHeight="1" x14ac:dyDescent="0.25">
      <c r="A35" s="18"/>
      <c r="D35" s="18"/>
      <c r="F35" s="18"/>
      <c r="J35" s="87"/>
      <c r="K35" s="87"/>
      <c r="N35" s="87"/>
      <c r="O35" s="87"/>
      <c r="P35" s="87"/>
      <c r="Q35" s="87"/>
      <c r="R35" s="87"/>
      <c r="T35" s="87"/>
      <c r="U35" s="87"/>
      <c r="X35" s="6"/>
    </row>
    <row r="36" spans="1:24" s="41" customFormat="1" ht="35.1" customHeight="1" x14ac:dyDescent="0.25">
      <c r="A36" s="18"/>
      <c r="D36" s="18"/>
      <c r="F36" s="18"/>
      <c r="J36" s="87"/>
      <c r="K36" s="87"/>
      <c r="N36" s="87"/>
      <c r="O36" s="87"/>
      <c r="P36" s="87"/>
      <c r="Q36" s="87"/>
      <c r="R36" s="87"/>
      <c r="T36" s="87"/>
      <c r="U36" s="87"/>
      <c r="X36" s="6"/>
    </row>
    <row r="37" spans="1:24" s="41" customFormat="1" ht="35.1" customHeight="1" x14ac:dyDescent="0.25">
      <c r="A37" s="18"/>
      <c r="D37" s="18"/>
      <c r="F37" s="18"/>
      <c r="J37" s="87"/>
      <c r="K37" s="87"/>
      <c r="N37" s="87"/>
      <c r="O37" s="87"/>
      <c r="P37" s="87"/>
      <c r="Q37" s="87"/>
      <c r="R37" s="87"/>
      <c r="T37" s="87"/>
      <c r="U37" s="87"/>
      <c r="X37" s="6"/>
    </row>
    <row r="38" spans="1:24" s="41" customFormat="1" ht="35.1" customHeight="1" x14ac:dyDescent="0.25">
      <c r="A38" s="18"/>
      <c r="D38" s="18"/>
      <c r="F38" s="18"/>
      <c r="J38" s="87"/>
      <c r="K38" s="87"/>
      <c r="N38" s="87"/>
      <c r="O38" s="87"/>
      <c r="P38" s="87"/>
      <c r="Q38" s="87"/>
      <c r="R38" s="87"/>
      <c r="T38" s="87"/>
      <c r="U38" s="87"/>
      <c r="X38" s="6"/>
    </row>
    <row r="39" spans="1:24" s="41" customFormat="1" ht="35.1" customHeight="1" x14ac:dyDescent="0.25">
      <c r="A39" s="18"/>
      <c r="D39" s="18"/>
      <c r="F39" s="18"/>
      <c r="J39" s="87"/>
      <c r="K39" s="87"/>
      <c r="N39" s="87"/>
      <c r="O39" s="87"/>
      <c r="P39" s="87"/>
      <c r="Q39" s="87"/>
      <c r="R39" s="87"/>
      <c r="T39" s="87"/>
      <c r="U39" s="87"/>
      <c r="X39" s="6"/>
    </row>
    <row r="40" spans="1:24" s="41" customFormat="1" ht="35.1" customHeight="1" x14ac:dyDescent="0.25">
      <c r="A40" s="18"/>
      <c r="D40" s="18"/>
      <c r="F40" s="18"/>
      <c r="J40" s="87"/>
      <c r="K40" s="87"/>
      <c r="N40" s="87"/>
      <c r="O40" s="87"/>
      <c r="P40" s="87"/>
      <c r="Q40" s="87"/>
      <c r="R40" s="87"/>
      <c r="T40" s="87"/>
      <c r="U40" s="87"/>
      <c r="X40" s="6"/>
    </row>
    <row r="41" spans="1:24" s="41" customFormat="1" ht="35.1" customHeight="1" x14ac:dyDescent="0.25">
      <c r="A41" s="18"/>
      <c r="D41" s="18"/>
      <c r="F41" s="18"/>
      <c r="J41" s="87"/>
      <c r="K41" s="87"/>
      <c r="N41" s="87"/>
      <c r="O41" s="87"/>
      <c r="P41" s="87"/>
      <c r="Q41" s="87"/>
      <c r="R41" s="87"/>
      <c r="T41" s="87"/>
      <c r="U41" s="87"/>
      <c r="X41" s="6"/>
    </row>
    <row r="42" spans="1:24" s="41" customFormat="1" ht="35.1" customHeight="1" x14ac:dyDescent="0.25">
      <c r="A42" s="18"/>
      <c r="D42" s="18"/>
      <c r="F42" s="18"/>
      <c r="J42" s="87"/>
      <c r="K42" s="87"/>
      <c r="N42" s="87"/>
      <c r="O42" s="87"/>
      <c r="P42" s="87"/>
      <c r="Q42" s="87"/>
      <c r="R42" s="87"/>
      <c r="T42" s="87"/>
      <c r="U42" s="87"/>
      <c r="X42" s="6"/>
    </row>
    <row r="43" spans="1:24" s="41" customFormat="1" ht="35.1" customHeight="1" x14ac:dyDescent="0.25">
      <c r="A43" s="18"/>
      <c r="D43" s="18"/>
      <c r="F43" s="18"/>
      <c r="J43" s="87"/>
      <c r="K43" s="87"/>
      <c r="N43" s="87"/>
      <c r="O43" s="87"/>
      <c r="P43" s="87"/>
      <c r="Q43" s="87"/>
      <c r="R43" s="87"/>
      <c r="T43" s="87"/>
      <c r="U43" s="87"/>
      <c r="X43" s="6"/>
    </row>
    <row r="44" spans="1:24" s="41" customFormat="1" ht="35.1" customHeight="1" x14ac:dyDescent="0.25">
      <c r="A44" s="18"/>
      <c r="D44" s="18"/>
      <c r="F44" s="18"/>
      <c r="J44" s="87"/>
      <c r="K44" s="87"/>
      <c r="N44" s="87"/>
      <c r="O44" s="87"/>
      <c r="P44" s="87"/>
      <c r="Q44" s="87"/>
      <c r="R44" s="87"/>
      <c r="T44" s="87"/>
      <c r="U44" s="87"/>
      <c r="X44" s="6"/>
    </row>
    <row r="45" spans="1:24" s="41" customFormat="1" ht="35.1" customHeight="1" x14ac:dyDescent="0.25">
      <c r="A45" s="18"/>
      <c r="D45" s="18"/>
      <c r="F45" s="18"/>
      <c r="J45" s="87"/>
      <c r="K45" s="87"/>
      <c r="N45" s="87"/>
      <c r="O45" s="87"/>
      <c r="P45" s="87"/>
      <c r="Q45" s="87"/>
      <c r="R45" s="87"/>
      <c r="T45" s="87"/>
      <c r="U45" s="87"/>
      <c r="X45" s="6"/>
    </row>
    <row r="46" spans="1:24" s="41" customFormat="1" ht="35.1" customHeight="1" x14ac:dyDescent="0.25">
      <c r="A46" s="18"/>
      <c r="D46" s="18"/>
      <c r="F46" s="18"/>
      <c r="J46" s="87"/>
      <c r="K46" s="87"/>
      <c r="N46" s="87"/>
      <c r="O46" s="87"/>
      <c r="P46" s="87"/>
      <c r="Q46" s="87"/>
      <c r="R46" s="87"/>
      <c r="T46" s="87"/>
      <c r="U46" s="87"/>
      <c r="X46" s="6"/>
    </row>
    <row r="47" spans="1:24" s="41" customFormat="1" ht="35.1" customHeight="1" x14ac:dyDescent="0.25">
      <c r="A47" s="18"/>
      <c r="D47" s="18"/>
      <c r="F47" s="18"/>
      <c r="J47" s="87"/>
      <c r="K47" s="87"/>
      <c r="N47" s="87"/>
      <c r="O47" s="87"/>
      <c r="P47" s="87"/>
      <c r="Q47" s="87"/>
      <c r="R47" s="87"/>
      <c r="T47" s="87"/>
      <c r="U47" s="87"/>
      <c r="X47" s="6"/>
    </row>
    <row r="48" spans="1:24" s="41" customFormat="1" ht="35.1" customHeight="1" x14ac:dyDescent="0.25">
      <c r="A48" s="18"/>
      <c r="D48" s="18"/>
      <c r="F48" s="18"/>
      <c r="J48" s="87"/>
      <c r="K48" s="87"/>
      <c r="N48" s="87"/>
      <c r="O48" s="87"/>
      <c r="P48" s="87"/>
      <c r="Q48" s="87"/>
      <c r="R48" s="87"/>
      <c r="T48" s="87"/>
      <c r="U48" s="87"/>
      <c r="X48" s="6"/>
    </row>
    <row r="49" spans="1:24" s="41" customFormat="1" ht="35.1" customHeight="1" x14ac:dyDescent="0.25">
      <c r="A49" s="18"/>
      <c r="D49" s="18"/>
      <c r="F49" s="18"/>
      <c r="J49" s="87"/>
      <c r="K49" s="87"/>
      <c r="N49" s="87"/>
      <c r="O49" s="87"/>
      <c r="P49" s="87"/>
      <c r="Q49" s="87"/>
      <c r="R49" s="87"/>
      <c r="T49" s="87"/>
      <c r="U49" s="87"/>
      <c r="X49" s="6"/>
    </row>
    <row r="50" spans="1:24" s="41" customFormat="1" ht="35.1" customHeight="1" x14ac:dyDescent="0.25">
      <c r="A50" s="18"/>
      <c r="D50" s="18"/>
      <c r="F50" s="18"/>
      <c r="J50" s="87"/>
      <c r="K50" s="87"/>
      <c r="N50" s="87"/>
      <c r="O50" s="87"/>
      <c r="P50" s="87"/>
      <c r="Q50" s="87"/>
      <c r="R50" s="87"/>
      <c r="T50" s="87"/>
      <c r="U50" s="87"/>
      <c r="X50" s="6"/>
    </row>
    <row r="51" spans="1:24" s="41" customFormat="1" ht="35.1" customHeight="1" x14ac:dyDescent="0.25">
      <c r="A51" s="18"/>
      <c r="D51" s="18"/>
      <c r="F51" s="18"/>
      <c r="J51" s="87"/>
      <c r="K51" s="87"/>
      <c r="N51" s="87"/>
      <c r="O51" s="87"/>
      <c r="P51" s="87"/>
      <c r="Q51" s="87"/>
      <c r="R51" s="87"/>
      <c r="T51" s="87"/>
      <c r="U51" s="87"/>
      <c r="X51" s="6"/>
    </row>
    <row r="52" spans="1:24" s="41" customFormat="1" ht="35.1" customHeight="1" x14ac:dyDescent="0.25">
      <c r="A52" s="18"/>
      <c r="D52" s="18"/>
      <c r="F52" s="18"/>
      <c r="J52" s="87"/>
      <c r="K52" s="87"/>
      <c r="N52" s="87"/>
      <c r="O52" s="87"/>
      <c r="P52" s="87"/>
      <c r="Q52" s="87"/>
      <c r="R52" s="87"/>
      <c r="T52" s="87"/>
      <c r="U52" s="87"/>
      <c r="X52" s="6"/>
    </row>
    <row r="53" spans="1:24" s="41" customFormat="1" ht="35.1" customHeight="1" x14ac:dyDescent="0.25">
      <c r="A53" s="18"/>
      <c r="D53" s="18"/>
      <c r="F53" s="18"/>
      <c r="J53" s="87"/>
      <c r="K53" s="87"/>
      <c r="N53" s="87"/>
      <c r="O53" s="87"/>
      <c r="P53" s="87"/>
      <c r="Q53" s="87"/>
      <c r="R53" s="87"/>
      <c r="T53" s="87"/>
      <c r="U53" s="87"/>
      <c r="X53" s="6"/>
    </row>
    <row r="54" spans="1:24" s="41" customFormat="1" ht="35.1" customHeight="1" x14ac:dyDescent="0.25">
      <c r="A54" s="18"/>
      <c r="D54" s="18"/>
      <c r="F54" s="18"/>
      <c r="J54" s="87"/>
      <c r="K54" s="87"/>
      <c r="N54" s="87"/>
      <c r="O54" s="87"/>
      <c r="P54" s="87"/>
      <c r="Q54" s="87"/>
      <c r="R54" s="87"/>
      <c r="T54" s="87"/>
      <c r="U54" s="87"/>
      <c r="X54" s="6"/>
    </row>
    <row r="55" spans="1:24" s="41" customFormat="1" ht="35.1" customHeight="1" x14ac:dyDescent="0.25">
      <c r="A55" s="18"/>
      <c r="D55" s="18"/>
      <c r="F55" s="18"/>
      <c r="J55" s="87"/>
      <c r="K55" s="87"/>
      <c r="N55" s="87"/>
      <c r="O55" s="87"/>
      <c r="P55" s="87"/>
      <c r="Q55" s="87"/>
      <c r="R55" s="87"/>
      <c r="T55" s="87"/>
      <c r="U55" s="87"/>
      <c r="X55" s="6"/>
    </row>
    <row r="56" spans="1:24" s="41" customFormat="1" ht="35.1" customHeight="1" x14ac:dyDescent="0.25">
      <c r="A56" s="18"/>
      <c r="D56" s="18"/>
      <c r="F56" s="18"/>
      <c r="J56" s="87"/>
      <c r="K56" s="87"/>
      <c r="N56" s="87"/>
      <c r="O56" s="87"/>
      <c r="P56" s="87"/>
      <c r="Q56" s="87"/>
      <c r="R56" s="87"/>
      <c r="T56" s="87"/>
      <c r="U56" s="87"/>
      <c r="X56" s="6"/>
    </row>
    <row r="57" spans="1:24" s="41" customFormat="1" ht="35.1" customHeight="1" x14ac:dyDescent="0.25">
      <c r="A57" s="18"/>
      <c r="D57" s="18"/>
      <c r="F57" s="18"/>
      <c r="J57" s="87"/>
      <c r="K57" s="87"/>
      <c r="N57" s="87"/>
      <c r="O57" s="87"/>
      <c r="P57" s="87"/>
      <c r="Q57" s="87"/>
      <c r="R57" s="87"/>
      <c r="T57" s="87"/>
      <c r="U57" s="87"/>
      <c r="X57" s="6"/>
    </row>
    <row r="58" spans="1:24" s="41" customFormat="1" ht="35.1" customHeight="1" x14ac:dyDescent="0.25">
      <c r="A58" s="18"/>
      <c r="D58" s="18"/>
      <c r="F58" s="18"/>
      <c r="J58" s="87"/>
      <c r="K58" s="87"/>
      <c r="N58" s="87"/>
      <c r="O58" s="87"/>
      <c r="P58" s="87"/>
      <c r="Q58" s="87"/>
      <c r="R58" s="87"/>
      <c r="T58" s="87"/>
      <c r="U58" s="87"/>
      <c r="X58" s="6"/>
    </row>
    <row r="59" spans="1:24" s="41" customFormat="1" ht="35.1" customHeight="1" x14ac:dyDescent="0.25">
      <c r="A59" s="18"/>
      <c r="D59" s="18"/>
      <c r="F59" s="18"/>
      <c r="J59" s="87"/>
      <c r="K59" s="87"/>
      <c r="N59" s="87"/>
      <c r="O59" s="87"/>
      <c r="P59" s="87"/>
      <c r="Q59" s="87"/>
      <c r="R59" s="87"/>
      <c r="T59" s="87"/>
      <c r="U59" s="87"/>
      <c r="X59" s="6"/>
    </row>
    <row r="60" spans="1:24" s="41" customFormat="1" ht="35.1" customHeight="1" x14ac:dyDescent="0.25">
      <c r="A60" s="18"/>
      <c r="D60" s="18"/>
      <c r="F60" s="18"/>
      <c r="J60" s="87"/>
      <c r="K60" s="87"/>
      <c r="N60" s="87"/>
      <c r="O60" s="87"/>
      <c r="P60" s="87"/>
      <c r="Q60" s="87"/>
      <c r="R60" s="87"/>
      <c r="T60" s="87"/>
      <c r="U60" s="87"/>
      <c r="X60" s="6"/>
    </row>
    <row r="61" spans="1:24" s="41" customFormat="1" ht="35.1" customHeight="1" x14ac:dyDescent="0.25">
      <c r="A61" s="18"/>
      <c r="D61" s="18"/>
      <c r="F61" s="18"/>
      <c r="J61" s="87"/>
      <c r="K61" s="87"/>
      <c r="N61" s="87"/>
      <c r="O61" s="87"/>
      <c r="P61" s="87"/>
      <c r="Q61" s="87"/>
      <c r="R61" s="87"/>
      <c r="T61" s="87"/>
      <c r="U61" s="87"/>
      <c r="X61" s="6"/>
    </row>
    <row r="62" spans="1:24" s="41" customFormat="1" ht="35.1" customHeight="1" x14ac:dyDescent="0.25">
      <c r="A62" s="18"/>
      <c r="D62" s="18"/>
      <c r="F62" s="18"/>
      <c r="J62" s="87"/>
      <c r="K62" s="87"/>
      <c r="N62" s="87"/>
      <c r="O62" s="87"/>
      <c r="P62" s="87"/>
      <c r="Q62" s="87"/>
      <c r="R62" s="87"/>
      <c r="T62" s="87"/>
      <c r="U62" s="87"/>
      <c r="X62" s="6"/>
    </row>
    <row r="63" spans="1:24" s="41" customFormat="1" ht="35.1" customHeight="1" x14ac:dyDescent="0.25">
      <c r="A63" s="18"/>
      <c r="D63" s="18"/>
      <c r="F63" s="18"/>
      <c r="J63" s="87"/>
      <c r="K63" s="87"/>
      <c r="N63" s="87"/>
      <c r="O63" s="87"/>
      <c r="P63" s="87"/>
      <c r="Q63" s="87"/>
      <c r="R63" s="87"/>
      <c r="T63" s="87"/>
      <c r="U63" s="87"/>
      <c r="X63" s="6"/>
    </row>
    <row r="64" spans="1:24" s="41" customFormat="1" ht="35.1" customHeight="1" x14ac:dyDescent="0.25">
      <c r="A64" s="18"/>
      <c r="D64" s="18"/>
      <c r="F64" s="18"/>
      <c r="J64" s="87"/>
      <c r="K64" s="87"/>
      <c r="N64" s="87"/>
      <c r="O64" s="87"/>
      <c r="P64" s="87"/>
      <c r="Q64" s="87"/>
      <c r="R64" s="87"/>
      <c r="T64" s="87"/>
      <c r="U64" s="87"/>
      <c r="X64" s="6"/>
    </row>
    <row r="65" spans="1:24" s="41" customFormat="1" ht="35.1" customHeight="1" x14ac:dyDescent="0.25">
      <c r="A65" s="18"/>
      <c r="D65" s="18"/>
      <c r="F65" s="18"/>
      <c r="J65" s="87"/>
      <c r="K65" s="87"/>
      <c r="N65" s="87"/>
      <c r="O65" s="87"/>
      <c r="P65" s="87"/>
      <c r="Q65" s="87"/>
      <c r="R65" s="87"/>
      <c r="T65" s="87"/>
      <c r="U65" s="87"/>
      <c r="X65" s="6"/>
    </row>
    <row r="66" spans="1:24" s="41" customFormat="1" ht="35.1" customHeight="1" x14ac:dyDescent="0.25">
      <c r="A66" s="18"/>
      <c r="D66" s="18"/>
      <c r="F66" s="18"/>
      <c r="J66" s="87"/>
      <c r="K66" s="87"/>
      <c r="N66" s="87"/>
      <c r="O66" s="87"/>
      <c r="P66" s="87"/>
      <c r="Q66" s="87"/>
      <c r="R66" s="87"/>
      <c r="T66" s="87"/>
      <c r="U66" s="87"/>
      <c r="X66" s="6"/>
    </row>
    <row r="67" spans="1:24" s="41" customFormat="1" ht="35.1" customHeight="1" x14ac:dyDescent="0.25">
      <c r="A67" s="18"/>
      <c r="D67" s="18"/>
      <c r="F67" s="18"/>
      <c r="J67" s="87"/>
      <c r="K67" s="87"/>
      <c r="N67" s="87"/>
      <c r="O67" s="87"/>
      <c r="P67" s="87"/>
      <c r="Q67" s="87"/>
      <c r="R67" s="87"/>
      <c r="T67" s="87"/>
      <c r="U67" s="87"/>
      <c r="X67" s="6"/>
    </row>
    <row r="68" spans="1:24" s="41" customFormat="1" ht="35.1" customHeight="1" x14ac:dyDescent="0.25">
      <c r="A68" s="18"/>
      <c r="D68" s="18"/>
      <c r="F68" s="18"/>
      <c r="J68" s="87"/>
      <c r="K68" s="87"/>
      <c r="N68" s="87"/>
      <c r="O68" s="87"/>
      <c r="P68" s="87"/>
      <c r="Q68" s="87"/>
      <c r="R68" s="87"/>
      <c r="T68" s="87"/>
      <c r="U68" s="87"/>
      <c r="X68" s="6"/>
    </row>
    <row r="69" spans="1:24" s="41" customFormat="1" ht="35.1" customHeight="1" x14ac:dyDescent="0.25">
      <c r="A69" s="18"/>
      <c r="D69" s="18"/>
      <c r="F69" s="18"/>
      <c r="J69" s="87"/>
      <c r="K69" s="87"/>
      <c r="N69" s="87"/>
      <c r="O69" s="87"/>
      <c r="P69" s="87"/>
      <c r="Q69" s="87"/>
      <c r="R69" s="87"/>
      <c r="T69" s="87"/>
      <c r="U69" s="87"/>
      <c r="X69" s="6"/>
    </row>
    <row r="70" spans="1:24" s="41" customFormat="1" ht="35.1" customHeight="1" x14ac:dyDescent="0.25">
      <c r="A70" s="18"/>
      <c r="D70" s="18"/>
      <c r="F70" s="18"/>
      <c r="J70" s="87"/>
      <c r="K70" s="87"/>
      <c r="N70" s="87"/>
      <c r="O70" s="87"/>
      <c r="P70" s="87"/>
      <c r="Q70" s="87"/>
      <c r="R70" s="87"/>
      <c r="T70" s="87"/>
      <c r="U70" s="87"/>
      <c r="X70" s="6"/>
    </row>
    <row r="71" spans="1:24" s="41" customFormat="1" ht="35.1" customHeight="1" x14ac:dyDescent="0.25">
      <c r="A71" s="18"/>
      <c r="D71" s="18"/>
      <c r="F71" s="18"/>
      <c r="J71" s="87"/>
      <c r="K71" s="87"/>
      <c r="N71" s="87"/>
      <c r="O71" s="87"/>
      <c r="P71" s="87"/>
      <c r="Q71" s="87"/>
      <c r="R71" s="87"/>
      <c r="T71" s="87"/>
      <c r="U71" s="87"/>
      <c r="X71" s="6"/>
    </row>
    <row r="72" spans="1:24" s="41" customFormat="1" ht="35.1" customHeight="1" x14ac:dyDescent="0.25">
      <c r="A72" s="18"/>
      <c r="D72" s="18"/>
      <c r="F72" s="18"/>
      <c r="J72" s="87"/>
      <c r="K72" s="87"/>
      <c r="N72" s="87"/>
      <c r="O72" s="87"/>
      <c r="P72" s="87"/>
      <c r="Q72" s="87"/>
      <c r="R72" s="87"/>
      <c r="T72" s="87"/>
      <c r="U72" s="87"/>
      <c r="X72" s="6"/>
    </row>
    <row r="73" spans="1:24" s="41" customFormat="1" ht="35.1" customHeight="1" x14ac:dyDescent="0.25">
      <c r="A73" s="18"/>
      <c r="D73" s="18"/>
      <c r="F73" s="18"/>
      <c r="J73" s="87"/>
      <c r="K73" s="87"/>
      <c r="N73" s="87"/>
      <c r="O73" s="87"/>
      <c r="P73" s="87"/>
      <c r="Q73" s="87"/>
      <c r="R73" s="87"/>
      <c r="T73" s="87"/>
      <c r="U73" s="87"/>
      <c r="X73" s="6"/>
    </row>
    <row r="74" spans="1:24" s="41" customFormat="1" ht="35.1" customHeight="1" x14ac:dyDescent="0.25">
      <c r="A74" s="18"/>
      <c r="D74" s="18"/>
      <c r="F74" s="18"/>
      <c r="J74" s="87"/>
      <c r="K74" s="87"/>
      <c r="N74" s="87"/>
      <c r="O74" s="87"/>
      <c r="P74" s="87"/>
      <c r="Q74" s="87"/>
      <c r="R74" s="87"/>
      <c r="T74" s="87"/>
      <c r="U74" s="87"/>
      <c r="X74" s="6"/>
    </row>
    <row r="75" spans="1:24" s="41" customFormat="1" ht="35.1" customHeight="1" x14ac:dyDescent="0.25">
      <c r="A75" s="18"/>
      <c r="D75" s="18"/>
      <c r="F75" s="18"/>
      <c r="J75" s="87"/>
      <c r="K75" s="87"/>
      <c r="N75" s="87"/>
      <c r="O75" s="87"/>
      <c r="P75" s="87"/>
      <c r="Q75" s="87"/>
      <c r="R75" s="87"/>
      <c r="T75" s="87"/>
      <c r="U75" s="87"/>
      <c r="X75" s="6"/>
    </row>
    <row r="76" spans="1:24" s="41" customFormat="1" ht="35.1" customHeight="1" x14ac:dyDescent="0.25">
      <c r="A76" s="18"/>
      <c r="D76" s="18"/>
      <c r="F76" s="18"/>
      <c r="J76" s="87"/>
      <c r="K76" s="87"/>
      <c r="N76" s="87"/>
      <c r="O76" s="87"/>
      <c r="P76" s="87"/>
      <c r="Q76" s="87"/>
      <c r="R76" s="87"/>
      <c r="T76" s="87"/>
      <c r="U76" s="87"/>
      <c r="X76" s="6"/>
    </row>
    <row r="77" spans="1:24" s="41" customFormat="1" ht="35.1" customHeight="1" x14ac:dyDescent="0.25">
      <c r="A77" s="18"/>
      <c r="D77" s="18"/>
      <c r="F77" s="18"/>
      <c r="J77" s="87"/>
      <c r="K77" s="87"/>
      <c r="N77" s="87"/>
      <c r="O77" s="87"/>
      <c r="P77" s="87"/>
      <c r="Q77" s="87"/>
      <c r="R77" s="87"/>
      <c r="T77" s="87"/>
      <c r="U77" s="87"/>
      <c r="X77" s="6"/>
    </row>
    <row r="78" spans="1:24" s="41" customFormat="1" ht="35.1" customHeight="1" x14ac:dyDescent="0.25">
      <c r="A78" s="18"/>
      <c r="D78" s="18"/>
      <c r="F78" s="18"/>
      <c r="J78" s="87"/>
      <c r="K78" s="87"/>
      <c r="N78" s="87"/>
      <c r="O78" s="87"/>
      <c r="P78" s="87"/>
      <c r="Q78" s="87"/>
      <c r="R78" s="87"/>
      <c r="T78" s="87"/>
      <c r="U78" s="87"/>
      <c r="X78" s="6"/>
    </row>
    <row r="79" spans="1:24" s="41" customFormat="1" ht="35.1" customHeight="1" x14ac:dyDescent="0.25">
      <c r="A79" s="18"/>
      <c r="D79" s="18"/>
      <c r="F79" s="18"/>
      <c r="J79" s="87"/>
      <c r="K79" s="87"/>
      <c r="N79" s="87"/>
      <c r="O79" s="87"/>
      <c r="P79" s="87"/>
      <c r="Q79" s="87"/>
      <c r="R79" s="87"/>
      <c r="T79" s="87"/>
      <c r="U79" s="87"/>
      <c r="X79" s="6"/>
    </row>
    <row r="80" spans="1:24" s="41" customFormat="1" ht="35.1" customHeight="1" x14ac:dyDescent="0.25">
      <c r="A80" s="18"/>
      <c r="D80" s="18"/>
      <c r="F80" s="18"/>
      <c r="J80" s="87"/>
      <c r="K80" s="87"/>
      <c r="N80" s="87"/>
      <c r="O80" s="87"/>
      <c r="P80" s="87"/>
      <c r="Q80" s="87"/>
      <c r="R80" s="87"/>
      <c r="T80" s="87"/>
      <c r="U80" s="87"/>
      <c r="X80" s="6"/>
    </row>
    <row r="81" spans="1:24" s="41" customFormat="1" ht="35.1" customHeight="1" x14ac:dyDescent="0.25">
      <c r="A81" s="18"/>
      <c r="D81" s="18"/>
      <c r="F81" s="18"/>
      <c r="J81" s="87"/>
      <c r="K81" s="87"/>
      <c r="N81" s="87"/>
      <c r="O81" s="87"/>
      <c r="P81" s="87"/>
      <c r="Q81" s="87"/>
      <c r="R81" s="87"/>
      <c r="T81" s="87"/>
      <c r="U81" s="87"/>
      <c r="X81" s="6"/>
    </row>
    <row r="82" spans="1:24" s="41" customFormat="1" ht="35.1" customHeight="1" x14ac:dyDescent="0.25">
      <c r="A82" s="18"/>
      <c r="D82" s="18"/>
      <c r="F82" s="18"/>
      <c r="J82" s="87"/>
      <c r="K82" s="87"/>
      <c r="N82" s="87"/>
      <c r="O82" s="87"/>
      <c r="P82" s="87"/>
      <c r="Q82" s="87"/>
      <c r="R82" s="87"/>
      <c r="T82" s="87"/>
      <c r="U82" s="87"/>
      <c r="X82" s="6"/>
    </row>
    <row r="83" spans="1:24" s="41" customFormat="1" ht="35.1" customHeight="1" x14ac:dyDescent="0.25">
      <c r="A83" s="18"/>
      <c r="D83" s="18"/>
      <c r="F83" s="18"/>
      <c r="J83" s="87"/>
      <c r="K83" s="87"/>
      <c r="N83" s="87"/>
      <c r="O83" s="87"/>
      <c r="P83" s="87"/>
      <c r="Q83" s="87"/>
      <c r="R83" s="87"/>
      <c r="T83" s="87"/>
      <c r="U83" s="87"/>
      <c r="X83" s="6"/>
    </row>
    <row r="84" spans="1:24" s="41" customFormat="1" ht="35.1" customHeight="1" x14ac:dyDescent="0.25">
      <c r="A84" s="18"/>
      <c r="D84" s="18"/>
      <c r="F84" s="18"/>
      <c r="J84" s="87"/>
      <c r="K84" s="87"/>
      <c r="N84" s="87"/>
      <c r="O84" s="87"/>
      <c r="P84" s="87"/>
      <c r="Q84" s="87"/>
      <c r="R84" s="87"/>
      <c r="T84" s="87"/>
      <c r="U84" s="87"/>
      <c r="X84" s="6"/>
    </row>
    <row r="85" spans="1:24" s="41" customFormat="1" ht="35.1" customHeight="1" x14ac:dyDescent="0.25">
      <c r="A85" s="18"/>
      <c r="D85" s="18"/>
      <c r="F85" s="18"/>
      <c r="J85" s="87"/>
      <c r="K85" s="87"/>
      <c r="N85" s="87"/>
      <c r="O85" s="87"/>
      <c r="P85" s="87"/>
      <c r="Q85" s="87"/>
      <c r="R85" s="87"/>
      <c r="T85" s="87"/>
      <c r="U85" s="87"/>
      <c r="X85" s="6"/>
    </row>
    <row r="86" spans="1:24" s="41" customFormat="1" ht="35.1" customHeight="1" x14ac:dyDescent="0.25">
      <c r="A86" s="18"/>
      <c r="D86" s="18"/>
      <c r="F86" s="18"/>
      <c r="J86" s="87"/>
      <c r="K86" s="87"/>
      <c r="N86" s="87"/>
      <c r="O86" s="87"/>
      <c r="P86" s="87"/>
      <c r="Q86" s="87"/>
      <c r="R86" s="87"/>
      <c r="T86" s="87"/>
      <c r="U86" s="87"/>
      <c r="X86" s="6"/>
    </row>
    <row r="87" spans="1:24" s="41" customFormat="1" ht="35.1" customHeight="1" x14ac:dyDescent="0.25">
      <c r="A87" s="18"/>
      <c r="D87" s="18"/>
      <c r="F87" s="18"/>
      <c r="J87" s="87"/>
      <c r="K87" s="87"/>
      <c r="N87" s="87"/>
      <c r="O87" s="87"/>
      <c r="P87" s="87"/>
      <c r="Q87" s="87"/>
      <c r="R87" s="87"/>
      <c r="T87" s="87"/>
      <c r="U87" s="87"/>
      <c r="X87" s="6"/>
    </row>
    <row r="88" spans="1:24" s="41" customFormat="1" ht="35.1" customHeight="1" x14ac:dyDescent="0.25">
      <c r="A88" s="18"/>
      <c r="D88" s="18"/>
      <c r="F88" s="18"/>
      <c r="J88" s="87"/>
      <c r="K88" s="87"/>
      <c r="N88" s="87"/>
      <c r="O88" s="87"/>
      <c r="P88" s="87"/>
      <c r="Q88" s="87"/>
      <c r="R88" s="87"/>
      <c r="T88" s="87"/>
      <c r="U88" s="87"/>
      <c r="X88" s="6"/>
    </row>
    <row r="89" spans="1:24" s="41" customFormat="1" ht="35.1" customHeight="1" x14ac:dyDescent="0.25">
      <c r="A89" s="18"/>
      <c r="D89" s="18"/>
      <c r="F89" s="18"/>
      <c r="J89" s="87"/>
      <c r="K89" s="87"/>
      <c r="N89" s="87"/>
      <c r="O89" s="87"/>
      <c r="P89" s="87"/>
      <c r="Q89" s="87"/>
      <c r="R89" s="87"/>
      <c r="T89" s="87"/>
      <c r="U89" s="87"/>
      <c r="X89" s="6"/>
    </row>
    <row r="90" spans="1:24" s="41" customFormat="1" ht="35.1" customHeight="1" x14ac:dyDescent="0.25">
      <c r="A90" s="18"/>
      <c r="D90" s="18"/>
      <c r="F90" s="18"/>
      <c r="J90" s="87"/>
      <c r="K90" s="87"/>
      <c r="N90" s="87"/>
      <c r="O90" s="87"/>
      <c r="P90" s="87"/>
      <c r="Q90" s="87"/>
      <c r="R90" s="87"/>
      <c r="T90" s="87"/>
      <c r="U90" s="87"/>
      <c r="X90" s="6"/>
    </row>
    <row r="91" spans="1:24" s="41" customFormat="1" ht="35.1" customHeight="1" x14ac:dyDescent="0.25">
      <c r="A91" s="18"/>
      <c r="D91" s="18"/>
      <c r="F91" s="18"/>
      <c r="J91" s="87"/>
      <c r="K91" s="87"/>
      <c r="N91" s="87"/>
      <c r="O91" s="87"/>
      <c r="P91" s="87"/>
      <c r="Q91" s="87"/>
      <c r="R91" s="87"/>
      <c r="T91" s="87"/>
      <c r="U91" s="87"/>
      <c r="X91" s="6"/>
    </row>
    <row r="92" spans="1:24" s="41" customFormat="1" ht="35.1" customHeight="1" x14ac:dyDescent="0.25">
      <c r="A92" s="18"/>
      <c r="D92" s="18"/>
      <c r="F92" s="18"/>
      <c r="J92" s="87"/>
      <c r="K92" s="87"/>
      <c r="N92" s="87"/>
      <c r="O92" s="87"/>
      <c r="P92" s="87"/>
      <c r="Q92" s="87"/>
      <c r="R92" s="87"/>
      <c r="T92" s="87"/>
      <c r="U92" s="87"/>
      <c r="X92" s="6"/>
    </row>
    <row r="93" spans="1:24" s="41" customFormat="1" ht="35.1" customHeight="1" x14ac:dyDescent="0.25">
      <c r="A93" s="18"/>
      <c r="D93" s="18"/>
      <c r="F93" s="18"/>
      <c r="J93" s="87"/>
      <c r="K93" s="87"/>
      <c r="N93" s="87"/>
      <c r="O93" s="87"/>
      <c r="P93" s="87"/>
      <c r="Q93" s="87"/>
      <c r="R93" s="87"/>
      <c r="T93" s="87"/>
      <c r="U93" s="87"/>
      <c r="X93" s="6"/>
    </row>
    <row r="94" spans="1:24" s="41" customFormat="1" ht="35.1" customHeight="1" x14ac:dyDescent="0.25">
      <c r="A94" s="18"/>
      <c r="D94" s="18"/>
      <c r="F94" s="18"/>
      <c r="J94" s="87"/>
      <c r="K94" s="87"/>
      <c r="N94" s="87"/>
      <c r="O94" s="87"/>
      <c r="P94" s="87"/>
      <c r="Q94" s="87"/>
      <c r="R94" s="87"/>
      <c r="T94" s="87"/>
      <c r="U94" s="87"/>
      <c r="X94" s="6"/>
    </row>
    <row r="95" spans="1:24" s="41" customFormat="1" ht="35.1" customHeight="1" x14ac:dyDescent="0.25">
      <c r="A95" s="18"/>
      <c r="D95" s="18"/>
      <c r="F95" s="18"/>
      <c r="J95" s="87"/>
      <c r="K95" s="87"/>
      <c r="N95" s="87"/>
      <c r="O95" s="87"/>
      <c r="P95" s="87"/>
      <c r="Q95" s="87"/>
      <c r="R95" s="87"/>
      <c r="T95" s="87"/>
      <c r="U95" s="87"/>
      <c r="X95" s="6"/>
    </row>
    <row r="96" spans="1:24" s="41" customFormat="1" ht="35.1" customHeight="1" x14ac:dyDescent="0.25">
      <c r="A96" s="18"/>
      <c r="D96" s="18"/>
      <c r="F96" s="18"/>
      <c r="J96" s="87"/>
      <c r="K96" s="87"/>
      <c r="N96" s="87"/>
      <c r="O96" s="87"/>
      <c r="P96" s="87"/>
      <c r="Q96" s="87"/>
      <c r="R96" s="87"/>
      <c r="T96" s="87"/>
      <c r="U96" s="87"/>
      <c r="X96" s="6"/>
    </row>
    <row r="97" spans="1:24" s="41" customFormat="1" ht="35.1" customHeight="1" x14ac:dyDescent="0.25">
      <c r="A97" s="18"/>
      <c r="D97" s="18"/>
      <c r="F97" s="18"/>
      <c r="J97" s="87"/>
      <c r="K97" s="87"/>
      <c r="N97" s="87"/>
      <c r="O97" s="87"/>
      <c r="P97" s="87"/>
      <c r="Q97" s="87"/>
      <c r="R97" s="87"/>
      <c r="T97" s="87"/>
      <c r="U97" s="87"/>
      <c r="X97" s="6"/>
    </row>
    <row r="98" spans="1:24" s="41" customFormat="1" ht="35.1" customHeight="1" x14ac:dyDescent="0.25">
      <c r="A98" s="18"/>
      <c r="D98" s="18"/>
      <c r="F98" s="18"/>
      <c r="J98" s="87"/>
      <c r="K98" s="87"/>
      <c r="N98" s="87"/>
      <c r="O98" s="87"/>
      <c r="P98" s="87"/>
      <c r="Q98" s="87"/>
      <c r="R98" s="87"/>
      <c r="T98" s="87"/>
      <c r="U98" s="87"/>
      <c r="X98" s="6"/>
    </row>
    <row r="99" spans="1:24" s="41" customFormat="1" ht="35.1" customHeight="1" x14ac:dyDescent="0.25">
      <c r="A99" s="18"/>
      <c r="D99" s="18"/>
      <c r="F99" s="18"/>
      <c r="J99" s="87"/>
      <c r="K99" s="87"/>
      <c r="N99" s="87"/>
      <c r="O99" s="87"/>
      <c r="P99" s="87"/>
      <c r="Q99" s="87"/>
      <c r="R99" s="87"/>
      <c r="T99" s="87"/>
      <c r="U99" s="87"/>
      <c r="X99" s="6"/>
    </row>
    <row r="100" spans="1:24" s="41" customFormat="1" ht="35.1" customHeight="1" x14ac:dyDescent="0.25">
      <c r="A100" s="18"/>
      <c r="D100" s="18"/>
      <c r="F100" s="18"/>
      <c r="J100" s="87"/>
      <c r="K100" s="87"/>
      <c r="N100" s="87"/>
      <c r="O100" s="87"/>
      <c r="P100" s="87"/>
      <c r="Q100" s="87"/>
      <c r="R100" s="87"/>
      <c r="T100" s="87"/>
      <c r="U100" s="87"/>
      <c r="X100" s="6"/>
    </row>
    <row r="101" spans="1:24" s="41" customFormat="1" ht="35.1" customHeight="1" x14ac:dyDescent="0.25">
      <c r="A101" s="18"/>
      <c r="D101" s="18"/>
      <c r="F101" s="18"/>
      <c r="J101" s="87"/>
      <c r="K101" s="87"/>
      <c r="N101" s="87"/>
      <c r="O101" s="87"/>
      <c r="P101" s="87"/>
      <c r="Q101" s="87"/>
      <c r="R101" s="87"/>
      <c r="T101" s="87"/>
      <c r="U101" s="87"/>
      <c r="X101" s="6"/>
    </row>
    <row r="102" spans="1:24" s="41" customFormat="1" ht="35.1" customHeight="1" x14ac:dyDescent="0.25">
      <c r="A102" s="18"/>
      <c r="D102" s="18"/>
      <c r="F102" s="18"/>
      <c r="J102" s="87"/>
      <c r="K102" s="87"/>
      <c r="N102" s="87"/>
      <c r="O102" s="87"/>
      <c r="P102" s="87"/>
      <c r="Q102" s="87"/>
      <c r="R102" s="87"/>
      <c r="T102" s="87"/>
      <c r="U102" s="87"/>
      <c r="X102" s="6"/>
    </row>
    <row r="103" spans="1:24" s="41" customFormat="1" ht="35.1" customHeight="1" x14ac:dyDescent="0.25">
      <c r="A103" s="18"/>
      <c r="D103" s="18"/>
      <c r="F103" s="18"/>
      <c r="J103" s="87"/>
      <c r="K103" s="87"/>
      <c r="N103" s="87"/>
      <c r="O103" s="87"/>
      <c r="P103" s="87"/>
      <c r="Q103" s="87"/>
      <c r="R103" s="87"/>
      <c r="T103" s="87"/>
      <c r="U103" s="87"/>
      <c r="X103" s="6"/>
    </row>
    <row r="104" spans="1:24" s="41" customFormat="1" ht="35.1" customHeight="1" x14ac:dyDescent="0.25">
      <c r="A104" s="18"/>
      <c r="D104" s="18"/>
      <c r="F104" s="18"/>
      <c r="J104" s="87"/>
      <c r="K104" s="87"/>
      <c r="N104" s="87"/>
      <c r="O104" s="87"/>
      <c r="P104" s="87"/>
      <c r="Q104" s="87"/>
      <c r="R104" s="87"/>
      <c r="T104" s="87"/>
      <c r="U104" s="87"/>
      <c r="X104" s="6"/>
    </row>
    <row r="105" spans="1:24" s="41" customFormat="1" ht="35.1" customHeight="1" x14ac:dyDescent="0.25">
      <c r="A105" s="18"/>
      <c r="D105" s="18"/>
      <c r="F105" s="18"/>
      <c r="J105" s="87"/>
      <c r="K105" s="87"/>
      <c r="N105" s="87"/>
      <c r="O105" s="87"/>
      <c r="P105" s="87"/>
      <c r="Q105" s="87"/>
      <c r="R105" s="87"/>
      <c r="T105" s="87"/>
      <c r="U105" s="87"/>
      <c r="X105" s="6"/>
    </row>
    <row r="106" spans="1:24" s="41" customFormat="1" ht="35.1" customHeight="1" x14ac:dyDescent="0.25">
      <c r="A106" s="18"/>
      <c r="D106" s="18"/>
      <c r="F106" s="18"/>
      <c r="J106" s="87"/>
      <c r="K106" s="87"/>
      <c r="N106" s="87"/>
      <c r="O106" s="87"/>
      <c r="P106" s="87"/>
      <c r="Q106" s="87"/>
      <c r="R106" s="87"/>
      <c r="T106" s="87"/>
      <c r="U106" s="87"/>
      <c r="X106" s="6"/>
    </row>
    <row r="107" spans="1:24" s="41" customFormat="1" ht="35.1" customHeight="1" x14ac:dyDescent="0.25">
      <c r="A107" s="18"/>
      <c r="D107" s="18"/>
      <c r="F107" s="18"/>
      <c r="J107" s="87"/>
      <c r="K107" s="87"/>
      <c r="N107" s="87"/>
      <c r="O107" s="87"/>
      <c r="P107" s="87"/>
      <c r="Q107" s="87"/>
      <c r="R107" s="87"/>
      <c r="T107" s="87"/>
      <c r="U107" s="87"/>
      <c r="X107" s="6"/>
    </row>
    <row r="108" spans="1:24" s="41" customFormat="1" ht="35.1" customHeight="1" x14ac:dyDescent="0.25">
      <c r="A108" s="18"/>
      <c r="D108" s="18"/>
      <c r="F108" s="18"/>
      <c r="J108" s="87"/>
      <c r="K108" s="87"/>
      <c r="N108" s="87"/>
      <c r="O108" s="87"/>
      <c r="P108" s="87"/>
      <c r="Q108" s="87"/>
      <c r="R108" s="87"/>
      <c r="T108" s="87"/>
      <c r="U108" s="87"/>
      <c r="X108" s="6"/>
    </row>
    <row r="109" spans="1:24" s="41" customFormat="1" ht="35.1" customHeight="1" x14ac:dyDescent="0.25">
      <c r="A109" s="18"/>
      <c r="D109" s="18"/>
      <c r="F109" s="18"/>
      <c r="J109" s="87"/>
      <c r="K109" s="87"/>
      <c r="N109" s="87"/>
      <c r="O109" s="87"/>
      <c r="P109" s="87"/>
      <c r="Q109" s="87"/>
      <c r="R109" s="87"/>
      <c r="T109" s="87"/>
      <c r="U109" s="87"/>
      <c r="X109" s="6"/>
    </row>
    <row r="110" spans="1:24" s="41" customFormat="1" ht="35.1" customHeight="1" x14ac:dyDescent="0.25">
      <c r="A110" s="18"/>
      <c r="D110" s="18"/>
      <c r="F110" s="18"/>
      <c r="J110" s="87"/>
      <c r="K110" s="87"/>
      <c r="N110" s="87"/>
      <c r="O110" s="87"/>
      <c r="P110" s="87"/>
      <c r="Q110" s="87"/>
      <c r="R110" s="87"/>
      <c r="T110" s="87"/>
      <c r="U110" s="87"/>
      <c r="X110" s="6"/>
    </row>
    <row r="111" spans="1:24" s="41" customFormat="1" ht="35.1" customHeight="1" x14ac:dyDescent="0.25">
      <c r="A111" s="18"/>
      <c r="D111" s="18"/>
      <c r="F111" s="18"/>
      <c r="J111" s="87"/>
      <c r="K111" s="87"/>
      <c r="N111" s="87"/>
      <c r="O111" s="87"/>
      <c r="P111" s="87"/>
      <c r="Q111" s="87"/>
      <c r="R111" s="87"/>
      <c r="T111" s="87"/>
      <c r="U111" s="87"/>
      <c r="X111" s="6"/>
    </row>
    <row r="112" spans="1:24" s="41" customFormat="1" ht="35.1" customHeight="1" x14ac:dyDescent="0.25">
      <c r="A112" s="18"/>
      <c r="D112" s="18"/>
      <c r="F112" s="18"/>
      <c r="J112" s="87"/>
      <c r="K112" s="87"/>
      <c r="N112" s="87"/>
      <c r="O112" s="87"/>
      <c r="P112" s="87"/>
      <c r="Q112" s="87"/>
      <c r="R112" s="87"/>
      <c r="T112" s="87"/>
      <c r="U112" s="87"/>
      <c r="X112" s="6"/>
    </row>
    <row r="113" spans="1:24" s="41" customFormat="1" ht="35.1" customHeight="1" x14ac:dyDescent="0.25">
      <c r="A113" s="18"/>
      <c r="D113" s="18"/>
      <c r="F113" s="18"/>
      <c r="J113" s="87"/>
      <c r="K113" s="87"/>
      <c r="N113" s="87"/>
      <c r="O113" s="87"/>
      <c r="P113" s="87"/>
      <c r="Q113" s="87"/>
      <c r="R113" s="87"/>
      <c r="T113" s="87"/>
      <c r="U113" s="87"/>
      <c r="X113" s="6"/>
    </row>
    <row r="114" spans="1:24" s="41" customFormat="1" ht="35.1" customHeight="1" x14ac:dyDescent="0.25">
      <c r="A114" s="18"/>
      <c r="D114" s="18"/>
      <c r="F114" s="18"/>
      <c r="J114" s="87"/>
      <c r="K114" s="87"/>
      <c r="N114" s="87"/>
      <c r="O114" s="87"/>
      <c r="P114" s="87"/>
      <c r="Q114" s="87"/>
      <c r="R114" s="87"/>
      <c r="T114" s="87"/>
      <c r="U114" s="87"/>
      <c r="X114" s="6"/>
    </row>
    <row r="115" spans="1:24" s="41" customFormat="1" ht="35.1" customHeight="1" x14ac:dyDescent="0.25">
      <c r="A115" s="18"/>
      <c r="D115" s="18"/>
      <c r="F115" s="18"/>
      <c r="J115" s="87"/>
      <c r="K115" s="87"/>
      <c r="N115" s="87"/>
      <c r="O115" s="87"/>
      <c r="P115" s="87"/>
      <c r="Q115" s="87"/>
      <c r="R115" s="87"/>
      <c r="T115" s="87"/>
      <c r="U115" s="87"/>
      <c r="X115" s="6"/>
    </row>
    <row r="116" spans="1:24" s="41" customFormat="1" ht="35.1" customHeight="1" x14ac:dyDescent="0.25">
      <c r="A116" s="18"/>
      <c r="D116" s="18"/>
      <c r="F116" s="18"/>
      <c r="J116" s="87"/>
      <c r="K116" s="87"/>
      <c r="N116" s="87"/>
      <c r="O116" s="87"/>
      <c r="P116" s="87"/>
      <c r="Q116" s="87"/>
      <c r="R116" s="87"/>
      <c r="T116" s="87"/>
      <c r="U116" s="87"/>
      <c r="X116" s="6"/>
    </row>
    <row r="117" spans="1:24" s="41" customFormat="1" ht="35.1" customHeight="1" x14ac:dyDescent="0.25">
      <c r="A117" s="18"/>
      <c r="D117" s="18"/>
      <c r="F117" s="18"/>
      <c r="J117" s="87"/>
      <c r="K117" s="87"/>
      <c r="N117" s="87"/>
      <c r="O117" s="87"/>
      <c r="P117" s="87"/>
      <c r="Q117" s="87"/>
      <c r="R117" s="87"/>
      <c r="T117" s="87"/>
      <c r="U117" s="87"/>
      <c r="X117" s="6"/>
    </row>
    <row r="118" spans="1:24" s="41" customFormat="1" ht="35.1" customHeight="1" x14ac:dyDescent="0.25">
      <c r="A118" s="18"/>
      <c r="D118" s="18"/>
      <c r="F118" s="18"/>
      <c r="J118" s="87"/>
      <c r="K118" s="87"/>
      <c r="N118" s="87"/>
      <c r="O118" s="87"/>
      <c r="P118" s="87"/>
      <c r="Q118" s="87"/>
      <c r="R118" s="87"/>
      <c r="T118" s="87"/>
      <c r="U118" s="87"/>
      <c r="X118" s="6"/>
    </row>
    <row r="119" spans="1:24" s="41" customFormat="1" ht="35.1" customHeight="1" x14ac:dyDescent="0.25">
      <c r="A119" s="18"/>
      <c r="D119" s="18"/>
      <c r="F119" s="18"/>
      <c r="J119" s="87"/>
      <c r="K119" s="87"/>
      <c r="N119" s="87"/>
      <c r="O119" s="87"/>
      <c r="P119" s="87"/>
      <c r="Q119" s="87"/>
      <c r="R119" s="87"/>
      <c r="T119" s="87"/>
      <c r="U119" s="87"/>
      <c r="X119" s="6"/>
    </row>
    <row r="120" spans="1:24" s="41" customFormat="1" ht="35.1" customHeight="1" x14ac:dyDescent="0.25">
      <c r="A120" s="18"/>
      <c r="D120" s="18"/>
      <c r="F120" s="18"/>
      <c r="J120" s="87"/>
      <c r="K120" s="87"/>
      <c r="N120" s="87"/>
      <c r="O120" s="87"/>
      <c r="P120" s="87"/>
      <c r="Q120" s="87"/>
      <c r="R120" s="87"/>
      <c r="T120" s="87"/>
      <c r="U120" s="87"/>
      <c r="X120" s="6"/>
    </row>
    <row r="121" spans="1:24" s="41" customFormat="1" ht="35.1" customHeight="1" x14ac:dyDescent="0.25">
      <c r="A121" s="18"/>
      <c r="D121" s="18"/>
      <c r="F121" s="18"/>
      <c r="J121" s="87"/>
      <c r="K121" s="87"/>
      <c r="N121" s="87"/>
      <c r="O121" s="87"/>
      <c r="P121" s="87"/>
      <c r="Q121" s="87"/>
      <c r="R121" s="87"/>
      <c r="T121" s="87"/>
      <c r="U121" s="87"/>
      <c r="X121" s="6"/>
    </row>
    <row r="122" spans="1:24" s="41" customFormat="1" ht="35.1" customHeight="1" x14ac:dyDescent="0.25">
      <c r="A122" s="18"/>
      <c r="D122" s="18"/>
      <c r="F122" s="18"/>
      <c r="J122" s="87"/>
      <c r="K122" s="87"/>
      <c r="N122" s="87"/>
      <c r="O122" s="87"/>
      <c r="P122" s="87"/>
      <c r="Q122" s="87"/>
      <c r="R122" s="87"/>
      <c r="T122" s="87"/>
      <c r="U122" s="87"/>
      <c r="X122" s="6"/>
    </row>
    <row r="123" spans="1:24" s="41" customFormat="1" ht="35.1" customHeight="1" x14ac:dyDescent="0.25">
      <c r="A123" s="18"/>
      <c r="D123" s="18"/>
      <c r="F123" s="18"/>
      <c r="J123" s="87"/>
      <c r="K123" s="87"/>
      <c r="N123" s="87"/>
      <c r="O123" s="87"/>
      <c r="P123" s="87"/>
      <c r="Q123" s="87"/>
      <c r="R123" s="87"/>
      <c r="T123" s="87"/>
      <c r="U123" s="87"/>
      <c r="X123" s="6"/>
    </row>
    <row r="124" spans="1:24" s="41" customFormat="1" ht="35.1" customHeight="1" x14ac:dyDescent="0.25">
      <c r="A124" s="18"/>
      <c r="D124" s="18"/>
      <c r="F124" s="18"/>
      <c r="J124" s="87"/>
      <c r="K124" s="87"/>
      <c r="N124" s="87"/>
      <c r="O124" s="87"/>
      <c r="P124" s="87"/>
      <c r="Q124" s="87"/>
      <c r="R124" s="87"/>
      <c r="T124" s="87"/>
      <c r="U124" s="87"/>
      <c r="X124" s="6"/>
    </row>
    <row r="125" spans="1:24" s="41" customFormat="1" ht="35.1" customHeight="1" x14ac:dyDescent="0.25">
      <c r="A125" s="18"/>
      <c r="D125" s="18"/>
      <c r="F125" s="18"/>
      <c r="J125" s="87"/>
      <c r="K125" s="87"/>
      <c r="N125" s="87"/>
      <c r="O125" s="87"/>
      <c r="P125" s="87"/>
      <c r="Q125" s="87"/>
      <c r="R125" s="87"/>
      <c r="T125" s="87"/>
      <c r="U125" s="87"/>
      <c r="X125" s="6"/>
    </row>
    <row r="126" spans="1:24" s="41" customFormat="1" ht="35.1" customHeight="1" x14ac:dyDescent="0.25">
      <c r="A126" s="18"/>
      <c r="D126" s="18"/>
      <c r="F126" s="18"/>
      <c r="J126" s="87"/>
      <c r="K126" s="87"/>
      <c r="N126" s="87"/>
      <c r="O126" s="87"/>
      <c r="P126" s="87"/>
      <c r="Q126" s="87"/>
      <c r="R126" s="87"/>
      <c r="T126" s="87"/>
      <c r="U126" s="87"/>
      <c r="X126" s="6"/>
    </row>
    <row r="127" spans="1:24" s="41" customFormat="1" ht="35.1" customHeight="1" x14ac:dyDescent="0.25">
      <c r="A127" s="18"/>
      <c r="D127" s="18"/>
      <c r="F127" s="18"/>
      <c r="J127" s="87"/>
      <c r="K127" s="87"/>
      <c r="N127" s="87"/>
      <c r="O127" s="87"/>
      <c r="P127" s="87"/>
      <c r="Q127" s="87"/>
      <c r="R127" s="87"/>
      <c r="T127" s="87"/>
      <c r="U127" s="87"/>
      <c r="X127" s="6"/>
    </row>
    <row r="128" spans="1:24" s="41" customFormat="1" ht="35.1" customHeight="1" x14ac:dyDescent="0.25">
      <c r="A128" s="18"/>
      <c r="D128" s="18"/>
      <c r="F128" s="18"/>
      <c r="J128" s="87"/>
      <c r="K128" s="87"/>
      <c r="N128" s="87"/>
      <c r="O128" s="87"/>
      <c r="P128" s="87"/>
      <c r="Q128" s="87"/>
      <c r="R128" s="87"/>
      <c r="T128" s="87"/>
      <c r="U128" s="87"/>
      <c r="X128" s="6"/>
    </row>
    <row r="129" spans="1:24" s="41" customFormat="1" ht="35.1" customHeight="1" x14ac:dyDescent="0.25">
      <c r="A129" s="18"/>
      <c r="D129" s="18"/>
      <c r="F129" s="18"/>
      <c r="J129" s="87"/>
      <c r="K129" s="87"/>
      <c r="N129" s="87"/>
      <c r="O129" s="87"/>
      <c r="P129" s="87"/>
      <c r="Q129" s="87"/>
      <c r="R129" s="87"/>
      <c r="T129" s="87"/>
      <c r="U129" s="87"/>
      <c r="X129" s="6"/>
    </row>
    <row r="130" spans="1:24" s="41" customFormat="1" ht="35.1" customHeight="1" x14ac:dyDescent="0.25">
      <c r="A130" s="18"/>
      <c r="D130" s="18"/>
      <c r="F130" s="18"/>
      <c r="J130" s="87"/>
      <c r="K130" s="87"/>
      <c r="N130" s="87"/>
      <c r="O130" s="87"/>
      <c r="P130" s="87"/>
      <c r="Q130" s="87"/>
      <c r="R130" s="87"/>
      <c r="T130" s="87"/>
      <c r="U130" s="87"/>
      <c r="X130" s="6"/>
    </row>
    <row r="131" spans="1:24" s="41" customFormat="1" ht="35.1" customHeight="1" x14ac:dyDescent="0.25">
      <c r="A131" s="18"/>
      <c r="D131" s="18"/>
      <c r="F131" s="18"/>
      <c r="J131" s="87"/>
      <c r="K131" s="87"/>
      <c r="N131" s="87"/>
      <c r="O131" s="87"/>
      <c r="P131" s="87"/>
      <c r="Q131" s="87"/>
      <c r="R131" s="87"/>
      <c r="T131" s="87"/>
      <c r="U131" s="87"/>
      <c r="X131" s="6"/>
    </row>
    <row r="132" spans="1:24" s="41" customFormat="1" ht="35.1" customHeight="1" x14ac:dyDescent="0.25">
      <c r="A132" s="18"/>
      <c r="D132" s="18"/>
      <c r="F132" s="18"/>
      <c r="J132" s="87"/>
      <c r="K132" s="87"/>
      <c r="N132" s="87"/>
      <c r="O132" s="87"/>
      <c r="P132" s="87"/>
      <c r="Q132" s="87"/>
      <c r="R132" s="87"/>
      <c r="T132" s="87"/>
      <c r="U132" s="87"/>
      <c r="X132" s="6"/>
    </row>
    <row r="133" spans="1:24" s="41" customFormat="1" ht="35.1" customHeight="1" x14ac:dyDescent="0.25">
      <c r="A133" s="18"/>
      <c r="D133" s="18"/>
      <c r="F133" s="18"/>
      <c r="J133" s="87"/>
      <c r="K133" s="87"/>
      <c r="N133" s="87"/>
      <c r="O133" s="87"/>
      <c r="P133" s="87"/>
      <c r="Q133" s="87"/>
      <c r="R133" s="87"/>
      <c r="T133" s="87"/>
      <c r="U133" s="87"/>
      <c r="X133" s="6"/>
    </row>
    <row r="134" spans="1:24" s="41" customFormat="1" ht="35.1" customHeight="1" x14ac:dyDescent="0.25">
      <c r="A134" s="18"/>
      <c r="D134" s="18"/>
      <c r="F134" s="18"/>
      <c r="J134" s="87"/>
      <c r="K134" s="87"/>
      <c r="N134" s="87"/>
      <c r="O134" s="87"/>
      <c r="P134" s="87"/>
      <c r="Q134" s="87"/>
      <c r="R134" s="87"/>
      <c r="T134" s="87"/>
      <c r="U134" s="87"/>
      <c r="X134" s="6"/>
    </row>
    <row r="135" spans="1:24" s="41" customFormat="1" ht="35.1" customHeight="1" x14ac:dyDescent="0.25">
      <c r="A135" s="18"/>
      <c r="D135" s="18"/>
      <c r="F135" s="18"/>
      <c r="J135" s="87"/>
      <c r="K135" s="87"/>
      <c r="N135" s="87"/>
      <c r="O135" s="87"/>
      <c r="P135" s="87"/>
      <c r="Q135" s="87"/>
      <c r="R135" s="87"/>
      <c r="T135" s="87"/>
      <c r="U135" s="87"/>
      <c r="X135" s="6"/>
    </row>
    <row r="136" spans="1:24" s="41" customFormat="1" ht="35.1" customHeight="1" x14ac:dyDescent="0.25">
      <c r="A136" s="18"/>
      <c r="D136" s="18"/>
      <c r="F136" s="18"/>
      <c r="J136" s="87"/>
      <c r="K136" s="87"/>
      <c r="N136" s="87"/>
      <c r="O136" s="87"/>
      <c r="P136" s="87"/>
      <c r="Q136" s="87"/>
      <c r="R136" s="87"/>
      <c r="T136" s="87"/>
      <c r="U136" s="87"/>
      <c r="X136" s="6"/>
    </row>
    <row r="137" spans="1:24" s="41" customFormat="1" ht="35.1" customHeight="1" x14ac:dyDescent="0.25">
      <c r="A137" s="18"/>
      <c r="D137" s="18"/>
      <c r="F137" s="18"/>
      <c r="J137" s="87"/>
      <c r="K137" s="87"/>
      <c r="N137" s="87"/>
      <c r="O137" s="87"/>
      <c r="P137" s="87"/>
      <c r="Q137" s="87"/>
      <c r="R137" s="87"/>
      <c r="T137" s="87"/>
      <c r="U137" s="87"/>
      <c r="X137" s="6"/>
    </row>
    <row r="138" spans="1:24" s="41" customFormat="1" ht="35.1" customHeight="1" x14ac:dyDescent="0.25">
      <c r="A138" s="18"/>
      <c r="D138" s="18"/>
      <c r="F138" s="18"/>
      <c r="J138" s="87"/>
      <c r="K138" s="87"/>
      <c r="N138" s="87"/>
      <c r="O138" s="87"/>
      <c r="P138" s="87"/>
      <c r="Q138" s="87"/>
      <c r="R138" s="87"/>
      <c r="T138" s="87"/>
      <c r="U138" s="87"/>
      <c r="X138" s="6"/>
    </row>
    <row r="139" spans="1:24" s="41" customFormat="1" ht="35.1" customHeight="1" x14ac:dyDescent="0.25">
      <c r="A139" s="18"/>
      <c r="D139" s="18"/>
      <c r="F139" s="18"/>
      <c r="J139" s="87"/>
      <c r="K139" s="87"/>
      <c r="N139" s="87"/>
      <c r="O139" s="87"/>
      <c r="P139" s="87"/>
      <c r="Q139" s="87"/>
      <c r="R139" s="87"/>
      <c r="T139" s="87"/>
      <c r="U139" s="87"/>
      <c r="X139" s="6"/>
    </row>
    <row r="140" spans="1:24" s="41" customFormat="1" ht="35.1" customHeight="1" x14ac:dyDescent="0.25">
      <c r="A140" s="18"/>
      <c r="D140" s="18"/>
      <c r="F140" s="18"/>
      <c r="J140" s="87"/>
      <c r="K140" s="87"/>
      <c r="N140" s="87"/>
      <c r="O140" s="87"/>
      <c r="P140" s="87"/>
      <c r="Q140" s="87"/>
      <c r="R140" s="87"/>
      <c r="T140" s="87"/>
      <c r="U140" s="87"/>
      <c r="X140" s="6"/>
    </row>
    <row r="141" spans="1:24" s="41" customFormat="1" ht="35.1" customHeight="1" x14ac:dyDescent="0.25">
      <c r="A141" s="18"/>
      <c r="D141" s="18"/>
      <c r="F141" s="18"/>
      <c r="J141" s="87"/>
      <c r="K141" s="87"/>
      <c r="N141" s="87"/>
      <c r="O141" s="87"/>
      <c r="P141" s="87"/>
      <c r="Q141" s="87"/>
      <c r="R141" s="87"/>
      <c r="T141" s="87"/>
      <c r="U141" s="87"/>
      <c r="X141" s="6"/>
    </row>
    <row r="142" spans="1:24" s="41" customFormat="1" ht="35.1" customHeight="1" x14ac:dyDescent="0.25">
      <c r="A142" s="18"/>
      <c r="D142" s="18"/>
      <c r="F142" s="18"/>
      <c r="J142" s="87"/>
      <c r="K142" s="87"/>
      <c r="N142" s="87"/>
      <c r="O142" s="87"/>
      <c r="P142" s="87"/>
      <c r="Q142" s="87"/>
      <c r="R142" s="87"/>
      <c r="T142" s="87"/>
      <c r="U142" s="87"/>
      <c r="X142" s="6"/>
    </row>
  </sheetData>
  <customSheetViews>
    <customSheetView guid="{2475EF64-AF17-4A2D-9C44-7B84D6678F02}" scale="70" showPageBreaks="1" fitToPage="1" printArea="1" hiddenRows="1" hiddenColumns="1" topLeftCell="A10">
      <pane xSplit="5" ySplit="7" topLeftCell="F17" activePane="bottomRight" state="frozen"/>
      <selection pane="bottomRight" activeCell="G22" sqref="G22"/>
      <pageMargins left="0.16" right="0.16" top="0.19" bottom="0.27" header="0.12" footer="0.17"/>
      <pageSetup paperSize="5" scale="34" fitToHeight="3" orientation="landscape" r:id="rId1"/>
    </customSheetView>
  </customSheetViews>
  <mergeCells count="30">
    <mergeCell ref="Y7:Y9"/>
    <mergeCell ref="Z7:Z9"/>
    <mergeCell ref="AA7:AA9"/>
    <mergeCell ref="AB7:AB9"/>
    <mergeCell ref="S7:S9"/>
    <mergeCell ref="T7:U8"/>
    <mergeCell ref="V7:V9"/>
    <mergeCell ref="W7:W9"/>
    <mergeCell ref="X7:X9"/>
    <mergeCell ref="A1:AB1"/>
    <mergeCell ref="A2:AB2"/>
    <mergeCell ref="A3:AB3"/>
    <mergeCell ref="A4:AB4"/>
    <mergeCell ref="A5:AB5"/>
    <mergeCell ref="A6:AB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K7:L8"/>
    <mergeCell ref="M7:N8"/>
    <mergeCell ref="P7:P9"/>
    <mergeCell ref="Q7:Q9"/>
    <mergeCell ref="R7:R9"/>
  </mergeCells>
  <phoneticPr fontId="25" type="noConversion"/>
  <conditionalFormatting sqref="B12:B13">
    <cfRule type="duplicateValues" dxfId="0" priority="9177"/>
  </conditionalFormatting>
  <dataValidations count="1">
    <dataValidation type="list" allowBlank="1" showInputMessage="1" showErrorMessage="1" sqref="D11:D13 I12:I13" xr:uid="{B407FFFB-F748-4EA3-B11E-E6C051AA9997}">
      <formula1>#REF!</formula1>
    </dataValidation>
  </dataValidations>
  <pageMargins left="0.19" right="0.16" top="0.19" bottom="0.27" header="0.12" footer="0.17"/>
  <pageSetup paperSize="5" scale="34" fitToHeight="3" orientation="landscape" r:id="rId2"/>
  <headerFoot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  <pageSetUpPr fitToPage="1"/>
  </sheetPr>
  <dimension ref="A1:S112"/>
  <sheetViews>
    <sheetView topLeftCell="E1" zoomScale="80" zoomScaleNormal="80" workbookViewId="0">
      <selection activeCell="O18" sqref="O18"/>
    </sheetView>
  </sheetViews>
  <sheetFormatPr defaultColWidth="6.88671875" defaultRowHeight="24.6" x14ac:dyDescent="0.25"/>
  <cols>
    <col min="1" max="1" width="5.6640625" style="34" bestFit="1" customWidth="1"/>
    <col min="2" max="2" width="53.44140625" style="26" customWidth="1"/>
    <col min="3" max="3" width="28.44140625" style="26" customWidth="1"/>
    <col min="4" max="4" width="30.109375" style="33" customWidth="1"/>
    <col min="5" max="5" width="20.6640625" style="33" customWidth="1"/>
    <col min="6" max="6" width="11.44140625" style="33" customWidth="1"/>
    <col min="7" max="7" width="19.109375" style="33" bestFit="1" customWidth="1"/>
    <col min="8" max="8" width="20.33203125" style="33" customWidth="1"/>
    <col min="9" max="9" width="22.33203125" style="33" customWidth="1"/>
    <col min="10" max="10" width="31.33203125" style="33" bestFit="1" customWidth="1"/>
    <col min="11" max="12" width="18.88671875" style="33" bestFit="1" customWidth="1"/>
    <col min="13" max="13" width="26.6640625" style="33" customWidth="1"/>
    <col min="14" max="14" width="28.88671875" style="33" bestFit="1" customWidth="1"/>
    <col min="15" max="15" width="24.5546875" style="36" bestFit="1" customWidth="1"/>
    <col min="16" max="16" width="18.88671875" style="37" customWidth="1"/>
    <col min="17" max="17" width="21.5546875" style="37" bestFit="1" customWidth="1"/>
    <col min="18" max="18" width="24.33203125" style="37" bestFit="1" customWidth="1"/>
    <col min="19" max="19" width="20.6640625" style="37" bestFit="1" customWidth="1"/>
    <col min="20" max="16384" width="6.88671875" style="26"/>
  </cols>
  <sheetData>
    <row r="1" spans="1:19" s="24" customFormat="1" ht="24" customHeight="1" x14ac:dyDescent="0.25">
      <c r="A1" s="393" t="s">
        <v>30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  <c r="R1" s="393"/>
      <c r="S1" s="393"/>
    </row>
    <row r="2" spans="1:19" s="24" customFormat="1" ht="24" customHeight="1" x14ac:dyDescent="0.25">
      <c r="A2" s="393" t="s">
        <v>31</v>
      </c>
      <c r="B2" s="393"/>
      <c r="C2" s="393"/>
      <c r="D2" s="393"/>
      <c r="E2" s="393"/>
      <c r="F2" s="393"/>
      <c r="G2" s="393"/>
      <c r="H2" s="393"/>
      <c r="I2" s="393"/>
      <c r="J2" s="393"/>
      <c r="K2" s="393"/>
      <c r="L2" s="393"/>
      <c r="M2" s="393"/>
      <c r="N2" s="393"/>
      <c r="O2" s="393"/>
      <c r="P2" s="393"/>
      <c r="Q2" s="393"/>
      <c r="R2" s="393"/>
      <c r="S2" s="393"/>
    </row>
    <row r="3" spans="1:19" s="24" customFormat="1" ht="24" customHeight="1" x14ac:dyDescent="0.25">
      <c r="A3" s="394" t="s">
        <v>32</v>
      </c>
      <c r="B3" s="39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</row>
    <row r="4" spans="1:19" s="24" customFormat="1" ht="24" customHeight="1" x14ac:dyDescent="0.25">
      <c r="A4" s="394" t="s">
        <v>34</v>
      </c>
      <c r="B4" s="394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ht="24" customHeight="1" x14ac:dyDescent="0.25">
      <c r="A5" s="393" t="s">
        <v>77</v>
      </c>
      <c r="B5" s="393"/>
      <c r="C5" s="393"/>
      <c r="D5" s="393"/>
      <c r="E5" s="393"/>
      <c r="F5" s="393"/>
      <c r="G5" s="393"/>
      <c r="H5" s="393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</row>
    <row r="6" spans="1:19" s="24" customFormat="1" ht="24" customHeight="1" x14ac:dyDescent="0.25">
      <c r="A6" s="401" t="str">
        <f>Ground!A6</f>
        <v>ຕົວຢ່າງ ໂຄງເງິນເດືອນ</v>
      </c>
      <c r="B6" s="401"/>
      <c r="C6" s="401"/>
      <c r="D6" s="401"/>
      <c r="E6" s="401"/>
      <c r="F6" s="401"/>
      <c r="G6" s="401"/>
      <c r="H6" s="401"/>
      <c r="I6" s="401"/>
      <c r="J6" s="401"/>
      <c r="K6" s="401"/>
      <c r="L6" s="401"/>
      <c r="M6" s="401"/>
      <c r="N6" s="401"/>
      <c r="O6" s="401"/>
      <c r="P6" s="401"/>
      <c r="Q6" s="401"/>
      <c r="R6" s="401"/>
      <c r="S6" s="401"/>
    </row>
    <row r="7" spans="1:19" s="69" customFormat="1" ht="24" customHeight="1" x14ac:dyDescent="0.25">
      <c r="A7" s="402" t="s">
        <v>3</v>
      </c>
      <c r="B7" s="402" t="s">
        <v>4</v>
      </c>
      <c r="C7" s="405" t="s">
        <v>66</v>
      </c>
      <c r="D7" s="408"/>
      <c r="E7" s="408"/>
      <c r="F7" s="408"/>
      <c r="G7" s="408"/>
      <c r="H7" s="408"/>
      <c r="I7" s="408"/>
      <c r="J7" s="408"/>
      <c r="K7" s="408"/>
      <c r="L7" s="408"/>
      <c r="M7" s="408"/>
      <c r="N7" s="408"/>
      <c r="O7" s="408"/>
      <c r="P7" s="408"/>
      <c r="Q7" s="409"/>
      <c r="R7" s="413" t="s">
        <v>67</v>
      </c>
      <c r="S7" s="414"/>
    </row>
    <row r="8" spans="1:19" s="69" customFormat="1" ht="24" customHeight="1" x14ac:dyDescent="0.25">
      <c r="A8" s="403"/>
      <c r="B8" s="403"/>
      <c r="C8" s="406"/>
      <c r="D8" s="390" t="s">
        <v>101</v>
      </c>
      <c r="E8" s="390" t="s">
        <v>68</v>
      </c>
      <c r="F8" s="410" t="s">
        <v>69</v>
      </c>
      <c r="G8" s="410" t="s">
        <v>70</v>
      </c>
      <c r="H8" s="395" t="s">
        <v>121</v>
      </c>
      <c r="I8" s="390" t="s">
        <v>80</v>
      </c>
      <c r="J8" s="398" t="s">
        <v>71</v>
      </c>
      <c r="K8" s="415" t="s">
        <v>72</v>
      </c>
      <c r="L8" s="416"/>
      <c r="M8" s="395" t="s">
        <v>47</v>
      </c>
      <c r="N8" s="390" t="s">
        <v>48</v>
      </c>
      <c r="O8" s="390" t="s">
        <v>73</v>
      </c>
      <c r="P8" s="390" t="s">
        <v>74</v>
      </c>
      <c r="Q8" s="347" t="s">
        <v>53</v>
      </c>
      <c r="R8" s="390" t="s">
        <v>75</v>
      </c>
      <c r="S8" s="390" t="s">
        <v>76</v>
      </c>
    </row>
    <row r="9" spans="1:19" s="69" customFormat="1" ht="31.5" customHeight="1" x14ac:dyDescent="0.25">
      <c r="A9" s="403"/>
      <c r="B9" s="403"/>
      <c r="C9" s="406"/>
      <c r="D9" s="391"/>
      <c r="E9" s="391"/>
      <c r="F9" s="411"/>
      <c r="G9" s="411"/>
      <c r="H9" s="396"/>
      <c r="I9" s="391"/>
      <c r="J9" s="399"/>
      <c r="K9" s="70" t="s">
        <v>21</v>
      </c>
      <c r="L9" s="70" t="s">
        <v>22</v>
      </c>
      <c r="M9" s="396"/>
      <c r="N9" s="391"/>
      <c r="O9" s="391"/>
      <c r="P9" s="391"/>
      <c r="Q9" s="370"/>
      <c r="R9" s="391"/>
      <c r="S9" s="391"/>
    </row>
    <row r="10" spans="1:19" s="24" customFormat="1" x14ac:dyDescent="0.25">
      <c r="A10" s="404"/>
      <c r="B10" s="404"/>
      <c r="C10" s="407"/>
      <c r="D10" s="135">
        <v>22324</v>
      </c>
      <c r="E10" s="392"/>
      <c r="F10" s="412"/>
      <c r="G10" s="412"/>
      <c r="H10" s="397"/>
      <c r="I10" s="392"/>
      <c r="J10" s="400"/>
      <c r="K10" s="71">
        <v>5.5E-2</v>
      </c>
      <c r="L10" s="71">
        <v>0.06</v>
      </c>
      <c r="M10" s="397"/>
      <c r="N10" s="392"/>
      <c r="O10" s="392"/>
      <c r="P10" s="392"/>
      <c r="Q10" s="348"/>
      <c r="R10" s="392"/>
      <c r="S10" s="392"/>
    </row>
    <row r="11" spans="1:19" s="66" customFormat="1" ht="20.25" customHeight="1" x14ac:dyDescent="0.25">
      <c r="A11" s="61"/>
      <c r="B11" s="61"/>
      <c r="C11" s="62"/>
      <c r="D11" s="65">
        <v>1</v>
      </c>
      <c r="E11" s="63"/>
      <c r="F11" s="62"/>
      <c r="G11" s="62">
        <v>2</v>
      </c>
      <c r="H11" s="63">
        <v>3</v>
      </c>
      <c r="I11" s="63">
        <v>4</v>
      </c>
      <c r="J11" s="62" t="s">
        <v>103</v>
      </c>
      <c r="K11" s="61" t="s">
        <v>104</v>
      </c>
      <c r="L11" s="61" t="s">
        <v>105</v>
      </c>
      <c r="M11" s="67" t="s">
        <v>106</v>
      </c>
      <c r="N11" s="63">
        <v>9</v>
      </c>
      <c r="O11" s="64" t="s">
        <v>107</v>
      </c>
      <c r="P11" s="63">
        <v>11</v>
      </c>
      <c r="Q11" s="63">
        <v>12</v>
      </c>
      <c r="R11" s="63" t="s">
        <v>108</v>
      </c>
      <c r="S11" s="63">
        <v>14</v>
      </c>
    </row>
    <row r="12" spans="1:19" ht="46.5" customHeight="1" x14ac:dyDescent="0.25">
      <c r="A12" s="27">
        <v>1</v>
      </c>
      <c r="B12" s="28" t="s">
        <v>133</v>
      </c>
      <c r="C12" s="29" t="s">
        <v>132</v>
      </c>
      <c r="D12" s="30">
        <v>136216406.66666666</v>
      </c>
      <c r="E12" s="30"/>
      <c r="F12" s="30"/>
      <c r="G12" s="136" t="s">
        <v>135</v>
      </c>
      <c r="H12" s="30"/>
      <c r="I12" s="30"/>
      <c r="J12" s="30">
        <v>136216406.66666666</v>
      </c>
      <c r="K12" s="30">
        <v>247500</v>
      </c>
      <c r="L12" s="30">
        <v>270000</v>
      </c>
      <c r="M12" s="30">
        <v>135968906.66666666</v>
      </c>
      <c r="N12" s="31">
        <v>28367226.666666664</v>
      </c>
      <c r="O12" s="32">
        <v>107601680</v>
      </c>
      <c r="P12" s="30"/>
      <c r="Q12" s="30">
        <v>0</v>
      </c>
      <c r="R12" s="30">
        <v>107601680</v>
      </c>
      <c r="S12" s="137">
        <v>4820</v>
      </c>
    </row>
    <row r="13" spans="1:19" ht="46.5" customHeight="1" x14ac:dyDescent="0.25">
      <c r="A13" s="27">
        <v>2</v>
      </c>
      <c r="B13" s="28" t="s">
        <v>134</v>
      </c>
      <c r="C13" s="29" t="s">
        <v>123</v>
      </c>
      <c r="D13" s="30">
        <v>59538450</v>
      </c>
      <c r="E13" s="30"/>
      <c r="F13" s="30"/>
      <c r="G13" s="136" t="s">
        <v>136</v>
      </c>
      <c r="H13" s="30"/>
      <c r="I13" s="30"/>
      <c r="J13" s="30">
        <v>59538450</v>
      </c>
      <c r="K13" s="30"/>
      <c r="L13" s="30"/>
      <c r="M13" s="30">
        <v>59538450</v>
      </c>
      <c r="N13" s="31">
        <v>9532690</v>
      </c>
      <c r="O13" s="32">
        <v>50005760</v>
      </c>
      <c r="P13" s="30"/>
      <c r="Q13" s="30">
        <v>0</v>
      </c>
      <c r="R13" s="30">
        <v>50005760</v>
      </c>
      <c r="S13" s="137">
        <v>2240</v>
      </c>
    </row>
    <row r="14" spans="1:19" ht="24" customHeight="1" x14ac:dyDescent="0.25"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</row>
    <row r="15" spans="1:19" ht="24" customHeight="1" x14ac:dyDescent="0.25"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</row>
    <row r="16" spans="1:19" ht="24" customHeight="1" x14ac:dyDescent="0.25"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</row>
    <row r="17" spans="4:19" ht="24" customHeight="1" x14ac:dyDescent="0.25"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</row>
    <row r="18" spans="4:19" ht="24" customHeight="1" x14ac:dyDescent="0.25"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</row>
    <row r="19" spans="4:19" ht="24" customHeight="1" x14ac:dyDescent="0.25"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</row>
    <row r="20" spans="4:19" ht="24" customHeight="1" x14ac:dyDescent="0.25"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</row>
    <row r="21" spans="4:19" ht="24" customHeight="1" x14ac:dyDescent="0.25"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</row>
    <row r="22" spans="4:19" ht="24" customHeight="1" x14ac:dyDescent="0.25"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</row>
    <row r="23" spans="4:19" ht="24" customHeight="1" x14ac:dyDescent="0.25"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</row>
    <row r="24" spans="4:19" ht="24" customHeight="1" x14ac:dyDescent="0.25"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</row>
    <row r="25" spans="4:19" ht="24" customHeight="1" x14ac:dyDescent="0.25"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</row>
    <row r="26" spans="4:19" ht="24" customHeight="1" x14ac:dyDescent="0.25"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</row>
    <row r="27" spans="4:19" ht="24" customHeight="1" x14ac:dyDescent="0.25"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</row>
    <row r="28" spans="4:19" ht="24" customHeight="1" x14ac:dyDescent="0.25"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</row>
    <row r="29" spans="4:19" ht="24" customHeight="1" x14ac:dyDescent="0.25"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</row>
    <row r="30" spans="4:19" ht="24" customHeight="1" x14ac:dyDescent="0.25"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</row>
    <row r="31" spans="4:19" ht="24" customHeight="1" x14ac:dyDescent="0.25"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</row>
    <row r="32" spans="4:19" ht="24" customHeight="1" x14ac:dyDescent="0.25"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</row>
    <row r="33" spans="4:19" ht="24" customHeight="1" x14ac:dyDescent="0.25"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</row>
    <row r="34" spans="4:19" ht="24" customHeight="1" x14ac:dyDescent="0.25"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</row>
    <row r="35" spans="4:19" ht="24" customHeight="1" x14ac:dyDescent="0.25"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</row>
    <row r="36" spans="4:19" ht="24" customHeight="1" x14ac:dyDescent="0.25"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</row>
    <row r="37" spans="4:19" ht="24" customHeight="1" x14ac:dyDescent="0.25"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</row>
    <row r="38" spans="4:19" ht="24" customHeight="1" x14ac:dyDescent="0.25"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</row>
    <row r="39" spans="4:19" ht="24" customHeight="1" x14ac:dyDescent="0.25"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</row>
    <row r="40" spans="4:19" ht="24" customHeight="1" x14ac:dyDescent="0.25"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</row>
    <row r="41" spans="4:19" ht="24" customHeight="1" x14ac:dyDescent="0.25"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</row>
    <row r="42" spans="4:19" ht="24" customHeight="1" x14ac:dyDescent="0.25"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</row>
    <row r="43" spans="4:19" ht="24" customHeight="1" x14ac:dyDescent="0.25"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</row>
    <row r="44" spans="4:19" ht="24" customHeight="1" x14ac:dyDescent="0.25"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</row>
    <row r="45" spans="4:19" ht="24" customHeight="1" x14ac:dyDescent="0.25"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</row>
    <row r="46" spans="4:19" ht="24" customHeight="1" x14ac:dyDescent="0.25"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</row>
    <row r="47" spans="4:19" ht="24" customHeight="1" x14ac:dyDescent="0.25"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</row>
    <row r="48" spans="4:19" ht="24" customHeight="1" x14ac:dyDescent="0.25"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</row>
    <row r="49" spans="4:19" ht="24" customHeight="1" x14ac:dyDescent="0.25"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</row>
    <row r="50" spans="4:19" ht="24" customHeight="1" x14ac:dyDescent="0.25"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</row>
    <row r="51" spans="4:19" ht="24" customHeight="1" x14ac:dyDescent="0.25"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</row>
    <row r="52" spans="4:19" ht="24" customHeight="1" x14ac:dyDescent="0.25"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</row>
    <row r="53" spans="4:19" ht="24" customHeight="1" x14ac:dyDescent="0.25"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</row>
    <row r="54" spans="4:19" ht="24" customHeight="1" x14ac:dyDescent="0.25"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</row>
    <row r="55" spans="4:19" ht="24" customHeight="1" x14ac:dyDescent="0.25"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</row>
    <row r="56" spans="4:19" ht="24" customHeight="1" x14ac:dyDescent="0.25"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</row>
    <row r="57" spans="4:19" ht="24" customHeight="1" x14ac:dyDescent="0.25"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</row>
    <row r="58" spans="4:19" ht="24" customHeight="1" x14ac:dyDescent="0.25"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</row>
    <row r="59" spans="4:19" ht="24" customHeight="1" x14ac:dyDescent="0.25"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</row>
    <row r="60" spans="4:19" ht="24" customHeight="1" x14ac:dyDescent="0.25"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</row>
    <row r="61" spans="4:19" ht="24" customHeight="1" x14ac:dyDescent="0.25"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</row>
    <row r="62" spans="4:19" ht="24" customHeight="1" x14ac:dyDescent="0.25"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</row>
    <row r="63" spans="4:19" ht="24" customHeight="1" x14ac:dyDescent="0.25"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</row>
    <row r="64" spans="4:19" ht="24" customHeight="1" x14ac:dyDescent="0.25"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</row>
    <row r="65" spans="4:19" ht="24" customHeight="1" x14ac:dyDescent="0.25"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</row>
    <row r="66" spans="4:19" ht="24" customHeight="1" x14ac:dyDescent="0.25"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</row>
    <row r="67" spans="4:19" ht="24" customHeight="1" x14ac:dyDescent="0.25"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</row>
    <row r="68" spans="4:19" ht="24" customHeight="1" x14ac:dyDescent="0.25"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</row>
    <row r="69" spans="4:19" ht="24" customHeight="1" x14ac:dyDescent="0.25"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</row>
    <row r="70" spans="4:19" ht="24" customHeight="1" x14ac:dyDescent="0.25"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</row>
    <row r="71" spans="4:19" ht="24" customHeight="1" x14ac:dyDescent="0.25"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</row>
    <row r="72" spans="4:19" ht="24" customHeight="1" x14ac:dyDescent="0.25"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</row>
    <row r="73" spans="4:19" ht="24" customHeight="1" x14ac:dyDescent="0.25"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</row>
    <row r="74" spans="4:19" ht="24" customHeight="1" x14ac:dyDescent="0.25"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</row>
    <row r="75" spans="4:19" ht="24" customHeight="1" x14ac:dyDescent="0.25"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</row>
    <row r="76" spans="4:19" ht="24" customHeight="1" x14ac:dyDescent="0.25"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</row>
    <row r="77" spans="4:19" ht="24" customHeight="1" x14ac:dyDescent="0.25"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</row>
    <row r="78" spans="4:19" ht="24" customHeight="1" x14ac:dyDescent="0.25"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</row>
    <row r="79" spans="4:19" ht="24" customHeight="1" x14ac:dyDescent="0.25"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</row>
    <row r="80" spans="4:19" ht="24" customHeight="1" x14ac:dyDescent="0.25"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</row>
    <row r="81" spans="4:19" ht="24" customHeight="1" x14ac:dyDescent="0.25"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</row>
    <row r="82" spans="4:19" ht="24" customHeight="1" x14ac:dyDescent="0.25"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</row>
    <row r="83" spans="4:19" ht="24" customHeight="1" x14ac:dyDescent="0.25"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</row>
    <row r="84" spans="4:19" ht="24" customHeight="1" x14ac:dyDescent="0.25"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</row>
    <row r="85" spans="4:19" ht="24" customHeight="1" x14ac:dyDescent="0.25"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</row>
    <row r="86" spans="4:19" ht="24" customHeight="1" x14ac:dyDescent="0.25"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</row>
    <row r="87" spans="4:19" ht="24" customHeight="1" x14ac:dyDescent="0.25"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</row>
    <row r="88" spans="4:19" ht="24" customHeight="1" x14ac:dyDescent="0.25"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</row>
    <row r="89" spans="4:19" ht="24" customHeight="1" x14ac:dyDescent="0.25"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</row>
    <row r="90" spans="4:19" ht="24" customHeight="1" x14ac:dyDescent="0.25"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</row>
    <row r="91" spans="4:19" ht="24" customHeight="1" x14ac:dyDescent="0.25"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spans="4:19" ht="24" customHeight="1" x14ac:dyDescent="0.25"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spans="4:19" ht="24" customHeight="1" x14ac:dyDescent="0.25"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spans="4:19" ht="24" customHeight="1" x14ac:dyDescent="0.25"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</row>
    <row r="95" spans="4:19" ht="24" customHeight="1" x14ac:dyDescent="0.25"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</row>
    <row r="96" spans="4:19" ht="24" customHeight="1" x14ac:dyDescent="0.25"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 spans="4:19" ht="24" customHeight="1" x14ac:dyDescent="0.25"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</row>
    <row r="98" spans="4:19" ht="24" customHeight="1" x14ac:dyDescent="0.25"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</row>
    <row r="99" spans="4:19" ht="24" customHeight="1" x14ac:dyDescent="0.25"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</row>
    <row r="100" spans="4:19" ht="24" customHeight="1" x14ac:dyDescent="0.25"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</row>
    <row r="101" spans="4:19" ht="24" customHeight="1" x14ac:dyDescent="0.25"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</row>
    <row r="102" spans="4:19" ht="24" customHeight="1" x14ac:dyDescent="0.25"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</row>
    <row r="103" spans="4:19" ht="24" customHeight="1" x14ac:dyDescent="0.25"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</row>
    <row r="104" spans="4:19" ht="24" customHeight="1" x14ac:dyDescent="0.25"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</row>
    <row r="105" spans="4:19" ht="24" customHeight="1" x14ac:dyDescent="0.25"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</row>
    <row r="106" spans="4:19" ht="24" customHeight="1" x14ac:dyDescent="0.25"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</row>
    <row r="107" spans="4:19" ht="24" customHeight="1" x14ac:dyDescent="0.25"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</row>
    <row r="108" spans="4:19" ht="24" customHeight="1" x14ac:dyDescent="0.25"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</row>
    <row r="109" spans="4:19" ht="24" customHeight="1" x14ac:dyDescent="0.25"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</row>
    <row r="110" spans="4:19" ht="24" customHeight="1" x14ac:dyDescent="0.25"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</row>
    <row r="111" spans="4:19" ht="24" customHeight="1" x14ac:dyDescent="0.25"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</row>
    <row r="112" spans="4:19" ht="24" customHeight="1" x14ac:dyDescent="0.25"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</row>
  </sheetData>
  <customSheetViews>
    <customSheetView guid="{2475EF64-AF17-4A2D-9C44-7B84D6678F02}" scale="80" showPageBreaks="1" fitToPage="1" printArea="1" hiddenRows="1" hiddenColumns="1">
      <pane xSplit="5" ySplit="2" topLeftCell="F6" activePane="bottomRight" state="frozen"/>
      <selection pane="bottomRight" activeCell="AA12" sqref="AA12"/>
      <pageMargins left="0.19" right="0.12" top="0.75" bottom="0.75" header="0.3" footer="0.3"/>
      <pageSetup paperSize="5" scale="37" orientation="landscape" r:id="rId1"/>
    </customSheetView>
  </customSheetViews>
  <mergeCells count="26">
    <mergeCell ref="I8:I10"/>
    <mergeCell ref="E8:E10"/>
    <mergeCell ref="H8:H10"/>
    <mergeCell ref="J8:J10"/>
    <mergeCell ref="A6:S6"/>
    <mergeCell ref="A7:A10"/>
    <mergeCell ref="B7:B10"/>
    <mergeCell ref="C7:C10"/>
    <mergeCell ref="D7:Q7"/>
    <mergeCell ref="F8:F10"/>
    <mergeCell ref="G8:G10"/>
    <mergeCell ref="D8:D9"/>
    <mergeCell ref="R7:S7"/>
    <mergeCell ref="K8:L8"/>
    <mergeCell ref="M8:M10"/>
    <mergeCell ref="R8:R10"/>
    <mergeCell ref="A1:S1"/>
    <mergeCell ref="A2:S2"/>
    <mergeCell ref="A3:B3"/>
    <mergeCell ref="A4:B4"/>
    <mergeCell ref="A5:S5"/>
    <mergeCell ref="N8:N10"/>
    <mergeCell ref="O8:O10"/>
    <mergeCell ref="P8:P10"/>
    <mergeCell ref="Q8:Q10"/>
    <mergeCell ref="S8:S10"/>
  </mergeCells>
  <phoneticPr fontId="18" type="noConversion"/>
  <pageMargins left="0.19" right="0.12" top="0.75" bottom="0.75" header="0.3" footer="0.3"/>
  <pageSetup paperSize="5" scale="39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  <pageSetUpPr fitToPage="1"/>
  </sheetPr>
  <dimension ref="A1:AR17"/>
  <sheetViews>
    <sheetView zoomScale="70" zoomScaleNormal="70" workbookViewId="0">
      <selection activeCell="B12" sqref="B12:C13"/>
    </sheetView>
  </sheetViews>
  <sheetFormatPr defaultColWidth="6.88671875" defaultRowHeight="24.9" customHeight="1" x14ac:dyDescent="0.25"/>
  <cols>
    <col min="1" max="1" width="6.88671875" style="18" customWidth="1"/>
    <col min="2" max="2" width="33.5546875" style="41" customWidth="1"/>
    <col min="3" max="3" width="26.88671875" style="41" customWidth="1"/>
    <col min="4" max="4" width="11.44140625" style="13" customWidth="1"/>
    <col min="5" max="5" width="19.5546875" style="82" customWidth="1"/>
    <col min="6" max="6" width="7.88671875" style="97" bestFit="1" customWidth="1"/>
    <col min="7" max="7" width="16.5546875" style="73" customWidth="1"/>
    <col min="8" max="8" width="16.44140625" style="73" customWidth="1"/>
    <col min="9" max="9" width="37.6640625" style="73" hidden="1" customWidth="1"/>
    <col min="10" max="10" width="17.5546875" style="83" customWidth="1"/>
    <col min="11" max="11" width="13" style="82" customWidth="1"/>
    <col min="12" max="12" width="18" style="82" customWidth="1"/>
    <col min="13" max="13" width="9.6640625" style="82" customWidth="1"/>
    <col min="14" max="15" width="15.5546875" style="82" customWidth="1"/>
    <col min="16" max="16" width="16.6640625" style="82" customWidth="1"/>
    <col min="17" max="17" width="17.44140625" style="82" customWidth="1"/>
    <col min="18" max="18" width="21.109375" style="82" customWidth="1"/>
    <col min="19" max="19" width="15.44140625" style="82" customWidth="1"/>
    <col min="20" max="20" width="16.5546875" style="82" customWidth="1"/>
    <col min="21" max="21" width="21.5546875" style="82" customWidth="1"/>
    <col min="22" max="22" width="15.44140625" style="82" customWidth="1"/>
    <col min="23" max="23" width="22.6640625" style="2" customWidth="1"/>
    <col min="24" max="25" width="16.109375" style="73" customWidth="1"/>
    <col min="26" max="26" width="18.88671875" style="98" customWidth="1"/>
    <col min="27" max="27" width="13" style="41" customWidth="1"/>
    <col min="28" max="16384" width="6.88671875" style="41"/>
  </cols>
  <sheetData>
    <row r="1" spans="1:44" s="42" customFormat="1" ht="24.9" customHeight="1" x14ac:dyDescent="0.25">
      <c r="A1" s="349" t="s">
        <v>30</v>
      </c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349"/>
      <c r="Z1" s="349"/>
      <c r="AR1" s="15"/>
    </row>
    <row r="2" spans="1:44" s="42" customFormat="1" ht="24.9" customHeight="1" x14ac:dyDescent="0.25">
      <c r="A2" s="349" t="s">
        <v>31</v>
      </c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349"/>
      <c r="Z2" s="349"/>
      <c r="AR2" s="15"/>
    </row>
    <row r="3" spans="1:44" s="42" customFormat="1" ht="24.9" customHeight="1" x14ac:dyDescent="0.25">
      <c r="A3" s="368" t="s">
        <v>32</v>
      </c>
      <c r="B3" s="368"/>
      <c r="C3" s="10"/>
      <c r="D3" s="10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100"/>
      <c r="AR3" s="15"/>
    </row>
    <row r="4" spans="1:44" s="42" customFormat="1" ht="24.9" customHeight="1" x14ac:dyDescent="0.25">
      <c r="A4" s="368" t="s">
        <v>34</v>
      </c>
      <c r="B4" s="368"/>
      <c r="C4" s="10"/>
      <c r="D4" s="10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100"/>
      <c r="AR4" s="15"/>
    </row>
    <row r="5" spans="1:44" s="42" customFormat="1" ht="24.9" customHeight="1" x14ac:dyDescent="0.25">
      <c r="A5" s="349" t="s">
        <v>33</v>
      </c>
      <c r="B5" s="349"/>
      <c r="C5" s="349"/>
      <c r="D5" s="349"/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R5" s="15"/>
    </row>
    <row r="6" spans="1:44" s="42" customFormat="1" ht="24.9" customHeight="1" x14ac:dyDescent="0.25">
      <c r="A6" s="369" t="s">
        <v>124</v>
      </c>
      <c r="B6" s="369"/>
      <c r="C6" s="369"/>
      <c r="D6" s="369"/>
      <c r="E6" s="369"/>
      <c r="F6" s="369"/>
      <c r="G6" s="369"/>
      <c r="H6" s="369"/>
      <c r="I6" s="369"/>
      <c r="J6" s="369"/>
      <c r="K6" s="369"/>
      <c r="L6" s="369"/>
      <c r="M6" s="369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9"/>
      <c r="Z6" s="369"/>
      <c r="AR6" s="15"/>
    </row>
    <row r="7" spans="1:44" ht="24.9" customHeight="1" x14ac:dyDescent="0.25">
      <c r="A7" s="362" t="s">
        <v>3</v>
      </c>
      <c r="B7" s="362" t="s">
        <v>4</v>
      </c>
      <c r="C7" s="357" t="s">
        <v>18</v>
      </c>
      <c r="D7" s="357" t="s">
        <v>17</v>
      </c>
      <c r="E7" s="359" t="s">
        <v>37</v>
      </c>
      <c r="F7" s="359" t="s">
        <v>11</v>
      </c>
      <c r="G7" s="359" t="s">
        <v>38</v>
      </c>
      <c r="H7" s="359" t="s">
        <v>12</v>
      </c>
      <c r="I7" s="359" t="s">
        <v>14</v>
      </c>
      <c r="J7" s="359" t="s">
        <v>13</v>
      </c>
      <c r="K7" s="422" t="s">
        <v>39</v>
      </c>
      <c r="L7" s="423"/>
      <c r="M7" s="422" t="s">
        <v>40</v>
      </c>
      <c r="N7" s="423"/>
      <c r="O7" s="359" t="s">
        <v>54</v>
      </c>
      <c r="P7" s="359" t="s">
        <v>121</v>
      </c>
      <c r="Q7" s="359" t="s">
        <v>41</v>
      </c>
      <c r="R7" s="359" t="s">
        <v>42</v>
      </c>
      <c r="S7" s="386" t="s">
        <v>20</v>
      </c>
      <c r="T7" s="387"/>
      <c r="U7" s="359" t="s">
        <v>43</v>
      </c>
      <c r="V7" s="359" t="s">
        <v>44</v>
      </c>
      <c r="W7" s="359" t="s">
        <v>45</v>
      </c>
      <c r="X7" s="359" t="s">
        <v>35</v>
      </c>
      <c r="Y7" s="359" t="s">
        <v>53</v>
      </c>
      <c r="Z7" s="371" t="s">
        <v>46</v>
      </c>
    </row>
    <row r="8" spans="1:44" s="42" customFormat="1" ht="24.9" customHeight="1" x14ac:dyDescent="0.25">
      <c r="A8" s="363"/>
      <c r="B8" s="363"/>
      <c r="C8" s="358"/>
      <c r="D8" s="358"/>
      <c r="E8" s="360"/>
      <c r="F8" s="360"/>
      <c r="G8" s="360"/>
      <c r="H8" s="360"/>
      <c r="I8" s="360"/>
      <c r="J8" s="360"/>
      <c r="K8" s="424"/>
      <c r="L8" s="425"/>
      <c r="M8" s="424"/>
      <c r="N8" s="425"/>
      <c r="O8" s="360"/>
      <c r="P8" s="360"/>
      <c r="Q8" s="360"/>
      <c r="R8" s="360"/>
      <c r="S8" s="388"/>
      <c r="T8" s="389"/>
      <c r="U8" s="360"/>
      <c r="V8" s="360"/>
      <c r="W8" s="360"/>
      <c r="X8" s="360"/>
      <c r="Y8" s="360"/>
      <c r="Z8" s="417"/>
    </row>
    <row r="9" spans="1:44" s="42" customFormat="1" ht="24.9" customHeight="1" x14ac:dyDescent="0.25">
      <c r="A9" s="363"/>
      <c r="B9" s="363"/>
      <c r="C9" s="358"/>
      <c r="D9" s="358"/>
      <c r="E9" s="377"/>
      <c r="F9" s="360"/>
      <c r="G9" s="360"/>
      <c r="H9" s="360"/>
      <c r="I9" s="360"/>
      <c r="J9" s="360"/>
      <c r="K9" s="95" t="s">
        <v>15</v>
      </c>
      <c r="L9" s="122" t="s">
        <v>5</v>
      </c>
      <c r="M9" s="122" t="s">
        <v>16</v>
      </c>
      <c r="N9" s="122" t="s">
        <v>5</v>
      </c>
      <c r="O9" s="377"/>
      <c r="P9" s="377"/>
      <c r="Q9" s="360"/>
      <c r="R9" s="360"/>
      <c r="S9" s="39" t="s">
        <v>21</v>
      </c>
      <c r="T9" s="44" t="s">
        <v>22</v>
      </c>
      <c r="U9" s="360"/>
      <c r="V9" s="360"/>
      <c r="W9" s="360"/>
      <c r="X9" s="360"/>
      <c r="Y9" s="360"/>
      <c r="Z9" s="417"/>
    </row>
    <row r="10" spans="1:44" s="121" customFormat="1" ht="24.9" customHeight="1" x14ac:dyDescent="0.25">
      <c r="A10" s="106"/>
      <c r="B10" s="126"/>
      <c r="C10" s="108"/>
      <c r="D10" s="108"/>
      <c r="E10" s="22">
        <v>1</v>
      </c>
      <c r="F10" s="22"/>
      <c r="G10" s="22">
        <v>2</v>
      </c>
      <c r="H10" s="22">
        <v>3</v>
      </c>
      <c r="I10" s="22"/>
      <c r="J10" s="22">
        <v>4</v>
      </c>
      <c r="K10" s="111"/>
      <c r="L10" s="112">
        <v>5</v>
      </c>
      <c r="M10" s="112"/>
      <c r="N10" s="112">
        <v>6</v>
      </c>
      <c r="O10" s="112">
        <v>7</v>
      </c>
      <c r="P10" s="112">
        <v>8</v>
      </c>
      <c r="Q10" s="127">
        <v>9</v>
      </c>
      <c r="R10" s="22" t="s">
        <v>82</v>
      </c>
      <c r="S10" s="112" t="s">
        <v>62</v>
      </c>
      <c r="T10" s="112" t="s">
        <v>63</v>
      </c>
      <c r="U10" s="110" t="s">
        <v>64</v>
      </c>
      <c r="V10" s="110">
        <v>12</v>
      </c>
      <c r="W10" s="110" t="s">
        <v>61</v>
      </c>
      <c r="X10" s="110">
        <v>14</v>
      </c>
      <c r="Y10" s="110" t="s">
        <v>83</v>
      </c>
      <c r="Z10" s="128" t="s">
        <v>65</v>
      </c>
    </row>
    <row r="11" spans="1:44" s="54" customFormat="1" ht="24.9" customHeight="1" x14ac:dyDescent="0.25">
      <c r="A11" s="418" t="s">
        <v>137</v>
      </c>
      <c r="B11" s="419"/>
      <c r="C11" s="49"/>
      <c r="D11" s="49"/>
      <c r="E11" s="92">
        <v>28965500</v>
      </c>
      <c r="F11" s="92">
        <v>122</v>
      </c>
      <c r="G11" s="92">
        <v>2050000</v>
      </c>
      <c r="H11" s="92">
        <v>5710000</v>
      </c>
      <c r="I11" s="92">
        <v>0</v>
      </c>
      <c r="J11" s="92">
        <v>65462678.498129994</v>
      </c>
      <c r="K11" s="92">
        <v>1920</v>
      </c>
      <c r="L11" s="92">
        <v>65462678.498129994</v>
      </c>
      <c r="M11" s="92">
        <v>0</v>
      </c>
      <c r="N11" s="92">
        <v>0</v>
      </c>
      <c r="O11" s="92">
        <v>0</v>
      </c>
      <c r="P11" s="92">
        <v>0</v>
      </c>
      <c r="Q11" s="92">
        <v>0</v>
      </c>
      <c r="R11" s="92">
        <v>167650856.99626002</v>
      </c>
      <c r="S11" s="92">
        <v>2475000</v>
      </c>
      <c r="T11" s="92">
        <v>2700000</v>
      </c>
      <c r="U11" s="92">
        <v>165175856.99999997</v>
      </c>
      <c r="V11" s="92">
        <v>975334.41700000002</v>
      </c>
      <c r="W11" s="92">
        <v>164200522.57999998</v>
      </c>
      <c r="X11" s="92">
        <v>200000</v>
      </c>
      <c r="Y11" s="92">
        <v>0</v>
      </c>
      <c r="Z11" s="91">
        <v>164000522.57999998</v>
      </c>
    </row>
    <row r="12" spans="1:44" ht="24.9" customHeight="1" x14ac:dyDescent="0.25">
      <c r="A12" s="16">
        <v>1</v>
      </c>
      <c r="B12" s="6" t="s">
        <v>138</v>
      </c>
      <c r="C12" s="6" t="s">
        <v>140</v>
      </c>
      <c r="D12" s="129" t="s">
        <v>6</v>
      </c>
      <c r="E12" s="130">
        <v>2812000</v>
      </c>
      <c r="F12" s="11">
        <v>9</v>
      </c>
      <c r="G12" s="59">
        <v>130000</v>
      </c>
      <c r="H12" s="59">
        <v>750000</v>
      </c>
      <c r="I12" s="59" t="s">
        <v>58</v>
      </c>
      <c r="J12" s="4">
        <v>4609863.4822700005</v>
      </c>
      <c r="K12" s="59">
        <v>192</v>
      </c>
      <c r="L12" s="4">
        <v>4609863.4822700005</v>
      </c>
      <c r="M12" s="4"/>
      <c r="N12" s="4">
        <v>0</v>
      </c>
      <c r="O12" s="4"/>
      <c r="P12" s="4"/>
      <c r="Q12" s="4"/>
      <c r="R12" s="60">
        <v>12911726.964540001</v>
      </c>
      <c r="S12" s="4">
        <v>247500</v>
      </c>
      <c r="T12" s="4">
        <v>270000</v>
      </c>
      <c r="U12" s="4">
        <v>12664226.960000001</v>
      </c>
      <c r="V12" s="8"/>
      <c r="W12" s="8">
        <v>12664226.960000001</v>
      </c>
      <c r="X12" s="8">
        <v>20000</v>
      </c>
      <c r="Y12" s="8">
        <v>0</v>
      </c>
      <c r="Z12" s="84">
        <v>12644226.960000001</v>
      </c>
    </row>
    <row r="13" spans="1:44" ht="24.9" customHeight="1" x14ac:dyDescent="0.25">
      <c r="A13" s="16">
        <v>2</v>
      </c>
      <c r="B13" s="6" t="s">
        <v>139</v>
      </c>
      <c r="C13" s="6" t="s">
        <v>141</v>
      </c>
      <c r="D13" s="129" t="s">
        <v>6</v>
      </c>
      <c r="E13" s="130">
        <v>2812000</v>
      </c>
      <c r="F13" s="11">
        <v>9</v>
      </c>
      <c r="G13" s="59">
        <v>130000</v>
      </c>
      <c r="H13" s="59">
        <v>520000</v>
      </c>
      <c r="I13" s="130" t="s">
        <v>59</v>
      </c>
      <c r="J13" s="4">
        <v>4208147.5027999999</v>
      </c>
      <c r="K13" s="59">
        <v>192</v>
      </c>
      <c r="L13" s="4">
        <v>4208147.5027999999</v>
      </c>
      <c r="M13" s="4"/>
      <c r="N13" s="4">
        <v>0</v>
      </c>
      <c r="O13" s="4"/>
      <c r="P13" s="4"/>
      <c r="Q13" s="4"/>
      <c r="R13" s="60">
        <v>11878295.0056</v>
      </c>
      <c r="S13" s="4">
        <v>247500</v>
      </c>
      <c r="T13" s="4">
        <v>270000</v>
      </c>
      <c r="U13" s="4">
        <v>11630795.01</v>
      </c>
      <c r="V13" s="8"/>
      <c r="W13" s="8">
        <v>11630795.01</v>
      </c>
      <c r="X13" s="8">
        <v>20000</v>
      </c>
      <c r="Y13" s="8">
        <v>0</v>
      </c>
      <c r="Z13" s="84">
        <v>11610795.01</v>
      </c>
    </row>
    <row r="14" spans="1:44" s="54" customFormat="1" ht="24.9" customHeight="1" x14ac:dyDescent="0.25">
      <c r="A14" s="420" t="s">
        <v>144</v>
      </c>
      <c r="B14" s="421"/>
      <c r="C14" s="47"/>
      <c r="D14" s="53"/>
      <c r="E14" s="47">
        <v>17611312.000115562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/>
      <c r="L14" s="47"/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17611312.000115562</v>
      </c>
      <c r="S14" s="47">
        <v>0</v>
      </c>
      <c r="T14" s="47">
        <v>0</v>
      </c>
      <c r="U14" s="47">
        <v>17611312</v>
      </c>
      <c r="V14" s="47">
        <v>0</v>
      </c>
      <c r="W14" s="47">
        <v>17611312</v>
      </c>
      <c r="X14" s="47">
        <v>20000</v>
      </c>
      <c r="Y14" s="47">
        <v>0</v>
      </c>
      <c r="Z14" s="58">
        <v>17591312</v>
      </c>
    </row>
    <row r="15" spans="1:44" ht="24.9" customHeight="1" x14ac:dyDescent="0.25">
      <c r="A15" s="16">
        <v>1</v>
      </c>
      <c r="B15" s="6" t="s">
        <v>142</v>
      </c>
      <c r="C15" s="6" t="s">
        <v>25</v>
      </c>
      <c r="D15" s="68"/>
      <c r="E15" s="59">
        <v>17611312.000115562</v>
      </c>
      <c r="F15" s="11"/>
      <c r="G15" s="59"/>
      <c r="H15" s="59"/>
      <c r="I15" s="59"/>
      <c r="J15" s="4"/>
      <c r="K15" s="59"/>
      <c r="L15" s="4"/>
      <c r="M15" s="4"/>
      <c r="N15" s="4">
        <v>0</v>
      </c>
      <c r="O15" s="4"/>
      <c r="P15" s="4"/>
      <c r="Q15" s="4"/>
      <c r="R15" s="60">
        <v>17611312.000115562</v>
      </c>
      <c r="S15" s="59"/>
      <c r="T15" s="59"/>
      <c r="U15" s="4">
        <v>17611312</v>
      </c>
      <c r="V15" s="8"/>
      <c r="W15" s="8">
        <v>17611312</v>
      </c>
      <c r="X15" s="8">
        <v>20000</v>
      </c>
      <c r="Y15" s="8">
        <v>0</v>
      </c>
      <c r="Z15" s="84">
        <v>17591312</v>
      </c>
    </row>
    <row r="16" spans="1:44" s="54" customFormat="1" ht="24.9" customHeight="1" x14ac:dyDescent="0.25">
      <c r="A16" s="420" t="s">
        <v>144</v>
      </c>
      <c r="B16" s="421"/>
      <c r="C16" s="47"/>
      <c r="D16" s="53"/>
      <c r="E16" s="47">
        <v>82152320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82152320</v>
      </c>
      <c r="S16" s="47">
        <v>0</v>
      </c>
      <c r="T16" s="47">
        <v>0</v>
      </c>
      <c r="U16" s="47">
        <v>82152320</v>
      </c>
      <c r="V16" s="47">
        <v>0</v>
      </c>
      <c r="W16" s="47">
        <v>82152320</v>
      </c>
      <c r="X16" s="47">
        <v>100000</v>
      </c>
      <c r="Y16" s="47">
        <v>0</v>
      </c>
      <c r="Z16" s="58">
        <v>82052320</v>
      </c>
    </row>
    <row r="17" spans="1:26" ht="24.9" customHeight="1" x14ac:dyDescent="0.25">
      <c r="A17" s="16">
        <v>1</v>
      </c>
      <c r="B17" s="6" t="s">
        <v>143</v>
      </c>
      <c r="C17" s="6" t="s">
        <v>1</v>
      </c>
      <c r="D17" s="68"/>
      <c r="E17" s="59">
        <v>23440200</v>
      </c>
      <c r="F17" s="11"/>
      <c r="G17" s="59"/>
      <c r="H17" s="59"/>
      <c r="I17" s="59"/>
      <c r="J17" s="4"/>
      <c r="K17" s="59"/>
      <c r="L17" s="4"/>
      <c r="M17" s="4"/>
      <c r="N17" s="4">
        <v>0</v>
      </c>
      <c r="O17" s="4"/>
      <c r="P17" s="4"/>
      <c r="Q17" s="4"/>
      <c r="R17" s="60">
        <v>23440200</v>
      </c>
      <c r="S17" s="59"/>
      <c r="T17" s="59"/>
      <c r="U17" s="4">
        <v>23440200</v>
      </c>
      <c r="V17" s="8"/>
      <c r="W17" s="8">
        <v>23440200</v>
      </c>
      <c r="X17" s="8">
        <v>20000</v>
      </c>
      <c r="Y17" s="8">
        <v>0</v>
      </c>
      <c r="Z17" s="84">
        <v>23420200</v>
      </c>
    </row>
  </sheetData>
  <customSheetViews>
    <customSheetView guid="{2475EF64-AF17-4A2D-9C44-7B84D6678F02}" scale="70" showPageBreaks="1" fitToPage="1" printArea="1" hiddenRows="1" hiddenColumns="1" topLeftCell="A4">
      <pane xSplit="3" ySplit="2" topLeftCell="D6" activePane="bottomRight" state="frozen"/>
      <selection pane="bottomRight" activeCell="A21" sqref="A21:XFD21"/>
      <pageMargins left="0.3" right="0.12" top="0.75" bottom="0.75" header="0.3" footer="0.3"/>
      <pageSetup paperSize="5" scale="36" orientation="landscape" r:id="rId1"/>
    </customSheetView>
  </customSheetViews>
  <mergeCells count="32">
    <mergeCell ref="A6:Z6"/>
    <mergeCell ref="A1:Z1"/>
    <mergeCell ref="A2:Z2"/>
    <mergeCell ref="A3:B3"/>
    <mergeCell ref="A4:B4"/>
    <mergeCell ref="A5:Z5"/>
    <mergeCell ref="A14:B14"/>
    <mergeCell ref="A16:B16"/>
    <mergeCell ref="A7:A9"/>
    <mergeCell ref="J7:J9"/>
    <mergeCell ref="Q7:Q9"/>
    <mergeCell ref="F7:F9"/>
    <mergeCell ref="G7:G9"/>
    <mergeCell ref="P7:P9"/>
    <mergeCell ref="B7:B9"/>
    <mergeCell ref="C7:C9"/>
    <mergeCell ref="D7:D9"/>
    <mergeCell ref="E7:E9"/>
    <mergeCell ref="H7:H9"/>
    <mergeCell ref="I7:I9"/>
    <mergeCell ref="K7:L8"/>
    <mergeCell ref="M7:N8"/>
    <mergeCell ref="Z7:Z9"/>
    <mergeCell ref="V7:V9"/>
    <mergeCell ref="W7:W9"/>
    <mergeCell ref="Y7:Y9"/>
    <mergeCell ref="A11:B11"/>
    <mergeCell ref="R7:R9"/>
    <mergeCell ref="S7:T8"/>
    <mergeCell ref="X7:X9"/>
    <mergeCell ref="U7:U9"/>
    <mergeCell ref="O7:O9"/>
  </mergeCells>
  <phoneticPr fontId="24" type="noConversion"/>
  <dataValidations count="1">
    <dataValidation type="list" allowBlank="1" showInputMessage="1" showErrorMessage="1" sqref="I17 I15 I12:I13" xr:uid="{929CCE54-2FBB-4FF6-B034-4CA10220E198}">
      <formula1>#REF!</formula1>
    </dataValidation>
  </dataValidations>
  <pageMargins left="0.3" right="0.12" top="0.75" bottom="0.75" header="0.3" footer="0.3"/>
  <pageSetup paperSize="5" scale="41" orientation="landscape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C9AA-037A-470D-B52D-CC5DF88B792A}">
  <sheetPr>
    <tabColor rgb="FF00B050"/>
  </sheetPr>
  <dimension ref="A1:U29"/>
  <sheetViews>
    <sheetView workbookViewId="0">
      <selection activeCell="H26" sqref="H26"/>
    </sheetView>
  </sheetViews>
  <sheetFormatPr defaultColWidth="11.44140625" defaultRowHeight="21.6" x14ac:dyDescent="0.25"/>
  <cols>
    <col min="1" max="1" width="5.6640625" style="138" customWidth="1"/>
    <col min="2" max="2" width="19.5546875" style="138" bestFit="1" customWidth="1"/>
    <col min="3" max="3" width="12.6640625" style="138" customWidth="1"/>
    <col min="4" max="4" width="12.88671875" style="138" customWidth="1"/>
    <col min="5" max="5" width="20.33203125" style="138" customWidth="1"/>
    <col min="6" max="6" width="14.88671875" style="140" customWidth="1"/>
    <col min="7" max="7" width="5.44140625" style="140" hidden="1" customWidth="1"/>
    <col min="8" max="8" width="16.109375" style="140" customWidth="1"/>
    <col min="9" max="9" width="16.6640625" style="138" customWidth="1"/>
    <col min="10" max="10" width="19.5546875" style="138" customWidth="1"/>
    <col min="11" max="11" width="17" style="138" customWidth="1"/>
    <col min="12" max="12" width="17.109375" style="140" customWidth="1"/>
    <col min="13" max="13" width="21.33203125" style="141" customWidth="1"/>
    <col min="14" max="14" width="18.6640625" style="138" customWidth="1"/>
    <col min="15" max="15" width="16.6640625" style="140" customWidth="1"/>
    <col min="16" max="16" width="20.5546875" style="142" customWidth="1"/>
    <col min="17" max="18" width="14.33203125" style="142" customWidth="1"/>
    <col min="19" max="19" width="18.88671875" style="138" customWidth="1"/>
    <col min="20" max="20" width="16.88671875" style="138" customWidth="1"/>
    <col min="21" max="21" width="14.5546875" style="138" bestFit="1" customWidth="1"/>
    <col min="22" max="22" width="18.88671875" style="138" customWidth="1"/>
    <col min="23" max="23" width="16.109375" style="138" customWidth="1"/>
    <col min="24" max="255" width="11.44140625" style="138"/>
    <col min="256" max="256" width="5.6640625" style="138" customWidth="1"/>
    <col min="257" max="257" width="31.33203125" style="138" customWidth="1"/>
    <col min="258" max="258" width="21.6640625" style="138" customWidth="1"/>
    <col min="259" max="260" width="0" style="138" hidden="1" customWidth="1"/>
    <col min="261" max="262" width="16" style="138" customWidth="1"/>
    <col min="263" max="263" width="0" style="138" hidden="1" customWidth="1"/>
    <col min="264" max="264" width="16.88671875" style="138" customWidth="1"/>
    <col min="265" max="265" width="17" style="138" customWidth="1"/>
    <col min="266" max="266" width="15" style="138" customWidth="1"/>
    <col min="267" max="267" width="12.88671875" style="138" customWidth="1"/>
    <col min="268" max="268" width="13.44140625" style="138" customWidth="1"/>
    <col min="269" max="269" width="19.33203125" style="138" customWidth="1"/>
    <col min="270" max="271" width="14.33203125" style="138" customWidth="1"/>
    <col min="272" max="272" width="18.88671875" style="138" customWidth="1"/>
    <col min="273" max="273" width="15.44140625" style="138" customWidth="1"/>
    <col min="274" max="276" width="16.88671875" style="138" customWidth="1"/>
    <col min="277" max="277" width="11.44140625" style="138"/>
    <col min="278" max="278" width="18.88671875" style="138" customWidth="1"/>
    <col min="279" max="279" width="16.109375" style="138" customWidth="1"/>
    <col min="280" max="511" width="11.44140625" style="138"/>
    <col min="512" max="512" width="5.6640625" style="138" customWidth="1"/>
    <col min="513" max="513" width="31.33203125" style="138" customWidth="1"/>
    <col min="514" max="514" width="21.6640625" style="138" customWidth="1"/>
    <col min="515" max="516" width="0" style="138" hidden="1" customWidth="1"/>
    <col min="517" max="518" width="16" style="138" customWidth="1"/>
    <col min="519" max="519" width="0" style="138" hidden="1" customWidth="1"/>
    <col min="520" max="520" width="16.88671875" style="138" customWidth="1"/>
    <col min="521" max="521" width="17" style="138" customWidth="1"/>
    <col min="522" max="522" width="15" style="138" customWidth="1"/>
    <col min="523" max="523" width="12.88671875" style="138" customWidth="1"/>
    <col min="524" max="524" width="13.44140625" style="138" customWidth="1"/>
    <col min="525" max="525" width="19.33203125" style="138" customWidth="1"/>
    <col min="526" max="527" width="14.33203125" style="138" customWidth="1"/>
    <col min="528" max="528" width="18.88671875" style="138" customWidth="1"/>
    <col min="529" max="529" width="15.44140625" style="138" customWidth="1"/>
    <col min="530" max="532" width="16.88671875" style="138" customWidth="1"/>
    <col min="533" max="533" width="11.44140625" style="138"/>
    <col min="534" max="534" width="18.88671875" style="138" customWidth="1"/>
    <col min="535" max="535" width="16.109375" style="138" customWidth="1"/>
    <col min="536" max="767" width="11.44140625" style="138"/>
    <col min="768" max="768" width="5.6640625" style="138" customWidth="1"/>
    <col min="769" max="769" width="31.33203125" style="138" customWidth="1"/>
    <col min="770" max="770" width="21.6640625" style="138" customWidth="1"/>
    <col min="771" max="772" width="0" style="138" hidden="1" customWidth="1"/>
    <col min="773" max="774" width="16" style="138" customWidth="1"/>
    <col min="775" max="775" width="0" style="138" hidden="1" customWidth="1"/>
    <col min="776" max="776" width="16.88671875" style="138" customWidth="1"/>
    <col min="777" max="777" width="17" style="138" customWidth="1"/>
    <col min="778" max="778" width="15" style="138" customWidth="1"/>
    <col min="779" max="779" width="12.88671875" style="138" customWidth="1"/>
    <col min="780" max="780" width="13.44140625" style="138" customWidth="1"/>
    <col min="781" max="781" width="19.33203125" style="138" customWidth="1"/>
    <col min="782" max="783" width="14.33203125" style="138" customWidth="1"/>
    <col min="784" max="784" width="18.88671875" style="138" customWidth="1"/>
    <col min="785" max="785" width="15.44140625" style="138" customWidth="1"/>
    <col min="786" max="788" width="16.88671875" style="138" customWidth="1"/>
    <col min="789" max="789" width="11.44140625" style="138"/>
    <col min="790" max="790" width="18.88671875" style="138" customWidth="1"/>
    <col min="791" max="791" width="16.109375" style="138" customWidth="1"/>
    <col min="792" max="1023" width="11.44140625" style="138"/>
    <col min="1024" max="1024" width="5.6640625" style="138" customWidth="1"/>
    <col min="1025" max="1025" width="31.33203125" style="138" customWidth="1"/>
    <col min="1026" max="1026" width="21.6640625" style="138" customWidth="1"/>
    <col min="1027" max="1028" width="0" style="138" hidden="1" customWidth="1"/>
    <col min="1029" max="1030" width="16" style="138" customWidth="1"/>
    <col min="1031" max="1031" width="0" style="138" hidden="1" customWidth="1"/>
    <col min="1032" max="1032" width="16.88671875" style="138" customWidth="1"/>
    <col min="1033" max="1033" width="17" style="138" customWidth="1"/>
    <col min="1034" max="1034" width="15" style="138" customWidth="1"/>
    <col min="1035" max="1035" width="12.88671875" style="138" customWidth="1"/>
    <col min="1036" max="1036" width="13.44140625" style="138" customWidth="1"/>
    <col min="1037" max="1037" width="19.33203125" style="138" customWidth="1"/>
    <col min="1038" max="1039" width="14.33203125" style="138" customWidth="1"/>
    <col min="1040" max="1040" width="18.88671875" style="138" customWidth="1"/>
    <col min="1041" max="1041" width="15.44140625" style="138" customWidth="1"/>
    <col min="1042" max="1044" width="16.88671875" style="138" customWidth="1"/>
    <col min="1045" max="1045" width="11.44140625" style="138"/>
    <col min="1046" max="1046" width="18.88671875" style="138" customWidth="1"/>
    <col min="1047" max="1047" width="16.109375" style="138" customWidth="1"/>
    <col min="1048" max="1279" width="11.44140625" style="138"/>
    <col min="1280" max="1280" width="5.6640625" style="138" customWidth="1"/>
    <col min="1281" max="1281" width="31.33203125" style="138" customWidth="1"/>
    <col min="1282" max="1282" width="21.6640625" style="138" customWidth="1"/>
    <col min="1283" max="1284" width="0" style="138" hidden="1" customWidth="1"/>
    <col min="1285" max="1286" width="16" style="138" customWidth="1"/>
    <col min="1287" max="1287" width="0" style="138" hidden="1" customWidth="1"/>
    <col min="1288" max="1288" width="16.88671875" style="138" customWidth="1"/>
    <col min="1289" max="1289" width="17" style="138" customWidth="1"/>
    <col min="1290" max="1290" width="15" style="138" customWidth="1"/>
    <col min="1291" max="1291" width="12.88671875" style="138" customWidth="1"/>
    <col min="1292" max="1292" width="13.44140625" style="138" customWidth="1"/>
    <col min="1293" max="1293" width="19.33203125" style="138" customWidth="1"/>
    <col min="1294" max="1295" width="14.33203125" style="138" customWidth="1"/>
    <col min="1296" max="1296" width="18.88671875" style="138" customWidth="1"/>
    <col min="1297" max="1297" width="15.44140625" style="138" customWidth="1"/>
    <col min="1298" max="1300" width="16.88671875" style="138" customWidth="1"/>
    <col min="1301" max="1301" width="11.44140625" style="138"/>
    <col min="1302" max="1302" width="18.88671875" style="138" customWidth="1"/>
    <col min="1303" max="1303" width="16.109375" style="138" customWidth="1"/>
    <col min="1304" max="1535" width="11.44140625" style="138"/>
    <col min="1536" max="1536" width="5.6640625" style="138" customWidth="1"/>
    <col min="1537" max="1537" width="31.33203125" style="138" customWidth="1"/>
    <col min="1538" max="1538" width="21.6640625" style="138" customWidth="1"/>
    <col min="1539" max="1540" width="0" style="138" hidden="1" customWidth="1"/>
    <col min="1541" max="1542" width="16" style="138" customWidth="1"/>
    <col min="1543" max="1543" width="0" style="138" hidden="1" customWidth="1"/>
    <col min="1544" max="1544" width="16.88671875" style="138" customWidth="1"/>
    <col min="1545" max="1545" width="17" style="138" customWidth="1"/>
    <col min="1546" max="1546" width="15" style="138" customWidth="1"/>
    <col min="1547" max="1547" width="12.88671875" style="138" customWidth="1"/>
    <col min="1548" max="1548" width="13.44140625" style="138" customWidth="1"/>
    <col min="1549" max="1549" width="19.33203125" style="138" customWidth="1"/>
    <col min="1550" max="1551" width="14.33203125" style="138" customWidth="1"/>
    <col min="1552" max="1552" width="18.88671875" style="138" customWidth="1"/>
    <col min="1553" max="1553" width="15.44140625" style="138" customWidth="1"/>
    <col min="1554" max="1556" width="16.88671875" style="138" customWidth="1"/>
    <col min="1557" max="1557" width="11.44140625" style="138"/>
    <col min="1558" max="1558" width="18.88671875" style="138" customWidth="1"/>
    <col min="1559" max="1559" width="16.109375" style="138" customWidth="1"/>
    <col min="1560" max="1791" width="11.44140625" style="138"/>
    <col min="1792" max="1792" width="5.6640625" style="138" customWidth="1"/>
    <col min="1793" max="1793" width="31.33203125" style="138" customWidth="1"/>
    <col min="1794" max="1794" width="21.6640625" style="138" customWidth="1"/>
    <col min="1795" max="1796" width="0" style="138" hidden="1" customWidth="1"/>
    <col min="1797" max="1798" width="16" style="138" customWidth="1"/>
    <col min="1799" max="1799" width="0" style="138" hidden="1" customWidth="1"/>
    <col min="1800" max="1800" width="16.88671875" style="138" customWidth="1"/>
    <col min="1801" max="1801" width="17" style="138" customWidth="1"/>
    <col min="1802" max="1802" width="15" style="138" customWidth="1"/>
    <col min="1803" max="1803" width="12.88671875" style="138" customWidth="1"/>
    <col min="1804" max="1804" width="13.44140625" style="138" customWidth="1"/>
    <col min="1805" max="1805" width="19.33203125" style="138" customWidth="1"/>
    <col min="1806" max="1807" width="14.33203125" style="138" customWidth="1"/>
    <col min="1808" max="1808" width="18.88671875" style="138" customWidth="1"/>
    <col min="1809" max="1809" width="15.44140625" style="138" customWidth="1"/>
    <col min="1810" max="1812" width="16.88671875" style="138" customWidth="1"/>
    <col min="1813" max="1813" width="11.44140625" style="138"/>
    <col min="1814" max="1814" width="18.88671875" style="138" customWidth="1"/>
    <col min="1815" max="1815" width="16.109375" style="138" customWidth="1"/>
    <col min="1816" max="2047" width="11.44140625" style="138"/>
    <col min="2048" max="2048" width="5.6640625" style="138" customWidth="1"/>
    <col min="2049" max="2049" width="31.33203125" style="138" customWidth="1"/>
    <col min="2050" max="2050" width="21.6640625" style="138" customWidth="1"/>
    <col min="2051" max="2052" width="0" style="138" hidden="1" customWidth="1"/>
    <col min="2053" max="2054" width="16" style="138" customWidth="1"/>
    <col min="2055" max="2055" width="0" style="138" hidden="1" customWidth="1"/>
    <col min="2056" max="2056" width="16.88671875" style="138" customWidth="1"/>
    <col min="2057" max="2057" width="17" style="138" customWidth="1"/>
    <col min="2058" max="2058" width="15" style="138" customWidth="1"/>
    <col min="2059" max="2059" width="12.88671875" style="138" customWidth="1"/>
    <col min="2060" max="2060" width="13.44140625" style="138" customWidth="1"/>
    <col min="2061" max="2061" width="19.33203125" style="138" customWidth="1"/>
    <col min="2062" max="2063" width="14.33203125" style="138" customWidth="1"/>
    <col min="2064" max="2064" width="18.88671875" style="138" customWidth="1"/>
    <col min="2065" max="2065" width="15.44140625" style="138" customWidth="1"/>
    <col min="2066" max="2068" width="16.88671875" style="138" customWidth="1"/>
    <col min="2069" max="2069" width="11.44140625" style="138"/>
    <col min="2070" max="2070" width="18.88671875" style="138" customWidth="1"/>
    <col min="2071" max="2071" width="16.109375" style="138" customWidth="1"/>
    <col min="2072" max="2303" width="11.44140625" style="138"/>
    <col min="2304" max="2304" width="5.6640625" style="138" customWidth="1"/>
    <col min="2305" max="2305" width="31.33203125" style="138" customWidth="1"/>
    <col min="2306" max="2306" width="21.6640625" style="138" customWidth="1"/>
    <col min="2307" max="2308" width="0" style="138" hidden="1" customWidth="1"/>
    <col min="2309" max="2310" width="16" style="138" customWidth="1"/>
    <col min="2311" max="2311" width="0" style="138" hidden="1" customWidth="1"/>
    <col min="2312" max="2312" width="16.88671875" style="138" customWidth="1"/>
    <col min="2313" max="2313" width="17" style="138" customWidth="1"/>
    <col min="2314" max="2314" width="15" style="138" customWidth="1"/>
    <col min="2315" max="2315" width="12.88671875" style="138" customWidth="1"/>
    <col min="2316" max="2316" width="13.44140625" style="138" customWidth="1"/>
    <col min="2317" max="2317" width="19.33203125" style="138" customWidth="1"/>
    <col min="2318" max="2319" width="14.33203125" style="138" customWidth="1"/>
    <col min="2320" max="2320" width="18.88671875" style="138" customWidth="1"/>
    <col min="2321" max="2321" width="15.44140625" style="138" customWidth="1"/>
    <col min="2322" max="2324" width="16.88671875" style="138" customWidth="1"/>
    <col min="2325" max="2325" width="11.44140625" style="138"/>
    <col min="2326" max="2326" width="18.88671875" style="138" customWidth="1"/>
    <col min="2327" max="2327" width="16.109375" style="138" customWidth="1"/>
    <col min="2328" max="2559" width="11.44140625" style="138"/>
    <col min="2560" max="2560" width="5.6640625" style="138" customWidth="1"/>
    <col min="2561" max="2561" width="31.33203125" style="138" customWidth="1"/>
    <col min="2562" max="2562" width="21.6640625" style="138" customWidth="1"/>
    <col min="2563" max="2564" width="0" style="138" hidden="1" customWidth="1"/>
    <col min="2565" max="2566" width="16" style="138" customWidth="1"/>
    <col min="2567" max="2567" width="0" style="138" hidden="1" customWidth="1"/>
    <col min="2568" max="2568" width="16.88671875" style="138" customWidth="1"/>
    <col min="2569" max="2569" width="17" style="138" customWidth="1"/>
    <col min="2570" max="2570" width="15" style="138" customWidth="1"/>
    <col min="2571" max="2571" width="12.88671875" style="138" customWidth="1"/>
    <col min="2572" max="2572" width="13.44140625" style="138" customWidth="1"/>
    <col min="2573" max="2573" width="19.33203125" style="138" customWidth="1"/>
    <col min="2574" max="2575" width="14.33203125" style="138" customWidth="1"/>
    <col min="2576" max="2576" width="18.88671875" style="138" customWidth="1"/>
    <col min="2577" max="2577" width="15.44140625" style="138" customWidth="1"/>
    <col min="2578" max="2580" width="16.88671875" style="138" customWidth="1"/>
    <col min="2581" max="2581" width="11.44140625" style="138"/>
    <col min="2582" max="2582" width="18.88671875" style="138" customWidth="1"/>
    <col min="2583" max="2583" width="16.109375" style="138" customWidth="1"/>
    <col min="2584" max="2815" width="11.44140625" style="138"/>
    <col min="2816" max="2816" width="5.6640625" style="138" customWidth="1"/>
    <col min="2817" max="2817" width="31.33203125" style="138" customWidth="1"/>
    <col min="2818" max="2818" width="21.6640625" style="138" customWidth="1"/>
    <col min="2819" max="2820" width="0" style="138" hidden="1" customWidth="1"/>
    <col min="2821" max="2822" width="16" style="138" customWidth="1"/>
    <col min="2823" max="2823" width="0" style="138" hidden="1" customWidth="1"/>
    <col min="2824" max="2824" width="16.88671875" style="138" customWidth="1"/>
    <col min="2825" max="2825" width="17" style="138" customWidth="1"/>
    <col min="2826" max="2826" width="15" style="138" customWidth="1"/>
    <col min="2827" max="2827" width="12.88671875" style="138" customWidth="1"/>
    <col min="2828" max="2828" width="13.44140625" style="138" customWidth="1"/>
    <col min="2829" max="2829" width="19.33203125" style="138" customWidth="1"/>
    <col min="2830" max="2831" width="14.33203125" style="138" customWidth="1"/>
    <col min="2832" max="2832" width="18.88671875" style="138" customWidth="1"/>
    <col min="2833" max="2833" width="15.44140625" style="138" customWidth="1"/>
    <col min="2834" max="2836" width="16.88671875" style="138" customWidth="1"/>
    <col min="2837" max="2837" width="11.44140625" style="138"/>
    <col min="2838" max="2838" width="18.88671875" style="138" customWidth="1"/>
    <col min="2839" max="2839" width="16.109375" style="138" customWidth="1"/>
    <col min="2840" max="3071" width="11.44140625" style="138"/>
    <col min="3072" max="3072" width="5.6640625" style="138" customWidth="1"/>
    <col min="3073" max="3073" width="31.33203125" style="138" customWidth="1"/>
    <col min="3074" max="3074" width="21.6640625" style="138" customWidth="1"/>
    <col min="3075" max="3076" width="0" style="138" hidden="1" customWidth="1"/>
    <col min="3077" max="3078" width="16" style="138" customWidth="1"/>
    <col min="3079" max="3079" width="0" style="138" hidden="1" customWidth="1"/>
    <col min="3080" max="3080" width="16.88671875" style="138" customWidth="1"/>
    <col min="3081" max="3081" width="17" style="138" customWidth="1"/>
    <col min="3082" max="3082" width="15" style="138" customWidth="1"/>
    <col min="3083" max="3083" width="12.88671875" style="138" customWidth="1"/>
    <col min="3084" max="3084" width="13.44140625" style="138" customWidth="1"/>
    <col min="3085" max="3085" width="19.33203125" style="138" customWidth="1"/>
    <col min="3086" max="3087" width="14.33203125" style="138" customWidth="1"/>
    <col min="3088" max="3088" width="18.88671875" style="138" customWidth="1"/>
    <col min="3089" max="3089" width="15.44140625" style="138" customWidth="1"/>
    <col min="3090" max="3092" width="16.88671875" style="138" customWidth="1"/>
    <col min="3093" max="3093" width="11.44140625" style="138"/>
    <col min="3094" max="3094" width="18.88671875" style="138" customWidth="1"/>
    <col min="3095" max="3095" width="16.109375" style="138" customWidth="1"/>
    <col min="3096" max="3327" width="11.44140625" style="138"/>
    <col min="3328" max="3328" width="5.6640625" style="138" customWidth="1"/>
    <col min="3329" max="3329" width="31.33203125" style="138" customWidth="1"/>
    <col min="3330" max="3330" width="21.6640625" style="138" customWidth="1"/>
    <col min="3331" max="3332" width="0" style="138" hidden="1" customWidth="1"/>
    <col min="3333" max="3334" width="16" style="138" customWidth="1"/>
    <col min="3335" max="3335" width="0" style="138" hidden="1" customWidth="1"/>
    <col min="3336" max="3336" width="16.88671875" style="138" customWidth="1"/>
    <col min="3337" max="3337" width="17" style="138" customWidth="1"/>
    <col min="3338" max="3338" width="15" style="138" customWidth="1"/>
    <col min="3339" max="3339" width="12.88671875" style="138" customWidth="1"/>
    <col min="3340" max="3340" width="13.44140625" style="138" customWidth="1"/>
    <col min="3341" max="3341" width="19.33203125" style="138" customWidth="1"/>
    <col min="3342" max="3343" width="14.33203125" style="138" customWidth="1"/>
    <col min="3344" max="3344" width="18.88671875" style="138" customWidth="1"/>
    <col min="3345" max="3345" width="15.44140625" style="138" customWidth="1"/>
    <col min="3346" max="3348" width="16.88671875" style="138" customWidth="1"/>
    <col min="3349" max="3349" width="11.44140625" style="138"/>
    <col min="3350" max="3350" width="18.88671875" style="138" customWidth="1"/>
    <col min="3351" max="3351" width="16.109375" style="138" customWidth="1"/>
    <col min="3352" max="3583" width="11.44140625" style="138"/>
    <col min="3584" max="3584" width="5.6640625" style="138" customWidth="1"/>
    <col min="3585" max="3585" width="31.33203125" style="138" customWidth="1"/>
    <col min="3586" max="3586" width="21.6640625" style="138" customWidth="1"/>
    <col min="3587" max="3588" width="0" style="138" hidden="1" customWidth="1"/>
    <col min="3589" max="3590" width="16" style="138" customWidth="1"/>
    <col min="3591" max="3591" width="0" style="138" hidden="1" customWidth="1"/>
    <col min="3592" max="3592" width="16.88671875" style="138" customWidth="1"/>
    <col min="3593" max="3593" width="17" style="138" customWidth="1"/>
    <col min="3594" max="3594" width="15" style="138" customWidth="1"/>
    <col min="3595" max="3595" width="12.88671875" style="138" customWidth="1"/>
    <col min="3596" max="3596" width="13.44140625" style="138" customWidth="1"/>
    <col min="3597" max="3597" width="19.33203125" style="138" customWidth="1"/>
    <col min="3598" max="3599" width="14.33203125" style="138" customWidth="1"/>
    <col min="3600" max="3600" width="18.88671875" style="138" customWidth="1"/>
    <col min="3601" max="3601" width="15.44140625" style="138" customWidth="1"/>
    <col min="3602" max="3604" width="16.88671875" style="138" customWidth="1"/>
    <col min="3605" max="3605" width="11.44140625" style="138"/>
    <col min="3606" max="3606" width="18.88671875" style="138" customWidth="1"/>
    <col min="3607" max="3607" width="16.109375" style="138" customWidth="1"/>
    <col min="3608" max="3839" width="11.44140625" style="138"/>
    <col min="3840" max="3840" width="5.6640625" style="138" customWidth="1"/>
    <col min="3841" max="3841" width="31.33203125" style="138" customWidth="1"/>
    <col min="3842" max="3842" width="21.6640625" style="138" customWidth="1"/>
    <col min="3843" max="3844" width="0" style="138" hidden="1" customWidth="1"/>
    <col min="3845" max="3846" width="16" style="138" customWidth="1"/>
    <col min="3847" max="3847" width="0" style="138" hidden="1" customWidth="1"/>
    <col min="3848" max="3848" width="16.88671875" style="138" customWidth="1"/>
    <col min="3849" max="3849" width="17" style="138" customWidth="1"/>
    <col min="3850" max="3850" width="15" style="138" customWidth="1"/>
    <col min="3851" max="3851" width="12.88671875" style="138" customWidth="1"/>
    <col min="3852" max="3852" width="13.44140625" style="138" customWidth="1"/>
    <col min="3853" max="3853" width="19.33203125" style="138" customWidth="1"/>
    <col min="3854" max="3855" width="14.33203125" style="138" customWidth="1"/>
    <col min="3856" max="3856" width="18.88671875" style="138" customWidth="1"/>
    <col min="3857" max="3857" width="15.44140625" style="138" customWidth="1"/>
    <col min="3858" max="3860" width="16.88671875" style="138" customWidth="1"/>
    <col min="3861" max="3861" width="11.44140625" style="138"/>
    <col min="3862" max="3862" width="18.88671875" style="138" customWidth="1"/>
    <col min="3863" max="3863" width="16.109375" style="138" customWidth="1"/>
    <col min="3864" max="4095" width="11.44140625" style="138"/>
    <col min="4096" max="4096" width="5.6640625" style="138" customWidth="1"/>
    <col min="4097" max="4097" width="31.33203125" style="138" customWidth="1"/>
    <col min="4098" max="4098" width="21.6640625" style="138" customWidth="1"/>
    <col min="4099" max="4100" width="0" style="138" hidden="1" customWidth="1"/>
    <col min="4101" max="4102" width="16" style="138" customWidth="1"/>
    <col min="4103" max="4103" width="0" style="138" hidden="1" customWidth="1"/>
    <col min="4104" max="4104" width="16.88671875" style="138" customWidth="1"/>
    <col min="4105" max="4105" width="17" style="138" customWidth="1"/>
    <col min="4106" max="4106" width="15" style="138" customWidth="1"/>
    <col min="4107" max="4107" width="12.88671875" style="138" customWidth="1"/>
    <col min="4108" max="4108" width="13.44140625" style="138" customWidth="1"/>
    <col min="4109" max="4109" width="19.33203125" style="138" customWidth="1"/>
    <col min="4110" max="4111" width="14.33203125" style="138" customWidth="1"/>
    <col min="4112" max="4112" width="18.88671875" style="138" customWidth="1"/>
    <col min="4113" max="4113" width="15.44140625" style="138" customWidth="1"/>
    <col min="4114" max="4116" width="16.88671875" style="138" customWidth="1"/>
    <col min="4117" max="4117" width="11.44140625" style="138"/>
    <col min="4118" max="4118" width="18.88671875" style="138" customWidth="1"/>
    <col min="4119" max="4119" width="16.109375" style="138" customWidth="1"/>
    <col min="4120" max="4351" width="11.44140625" style="138"/>
    <col min="4352" max="4352" width="5.6640625" style="138" customWidth="1"/>
    <col min="4353" max="4353" width="31.33203125" style="138" customWidth="1"/>
    <col min="4354" max="4354" width="21.6640625" style="138" customWidth="1"/>
    <col min="4355" max="4356" width="0" style="138" hidden="1" customWidth="1"/>
    <col min="4357" max="4358" width="16" style="138" customWidth="1"/>
    <col min="4359" max="4359" width="0" style="138" hidden="1" customWidth="1"/>
    <col min="4360" max="4360" width="16.88671875" style="138" customWidth="1"/>
    <col min="4361" max="4361" width="17" style="138" customWidth="1"/>
    <col min="4362" max="4362" width="15" style="138" customWidth="1"/>
    <col min="4363" max="4363" width="12.88671875" style="138" customWidth="1"/>
    <col min="4364" max="4364" width="13.44140625" style="138" customWidth="1"/>
    <col min="4365" max="4365" width="19.33203125" style="138" customWidth="1"/>
    <col min="4366" max="4367" width="14.33203125" style="138" customWidth="1"/>
    <col min="4368" max="4368" width="18.88671875" style="138" customWidth="1"/>
    <col min="4369" max="4369" width="15.44140625" style="138" customWidth="1"/>
    <col min="4370" max="4372" width="16.88671875" style="138" customWidth="1"/>
    <col min="4373" max="4373" width="11.44140625" style="138"/>
    <col min="4374" max="4374" width="18.88671875" style="138" customWidth="1"/>
    <col min="4375" max="4375" width="16.109375" style="138" customWidth="1"/>
    <col min="4376" max="4607" width="11.44140625" style="138"/>
    <col min="4608" max="4608" width="5.6640625" style="138" customWidth="1"/>
    <col min="4609" max="4609" width="31.33203125" style="138" customWidth="1"/>
    <col min="4610" max="4610" width="21.6640625" style="138" customWidth="1"/>
    <col min="4611" max="4612" width="0" style="138" hidden="1" customWidth="1"/>
    <col min="4613" max="4614" width="16" style="138" customWidth="1"/>
    <col min="4615" max="4615" width="0" style="138" hidden="1" customWidth="1"/>
    <col min="4616" max="4616" width="16.88671875" style="138" customWidth="1"/>
    <col min="4617" max="4617" width="17" style="138" customWidth="1"/>
    <col min="4618" max="4618" width="15" style="138" customWidth="1"/>
    <col min="4619" max="4619" width="12.88671875" style="138" customWidth="1"/>
    <col min="4620" max="4620" width="13.44140625" style="138" customWidth="1"/>
    <col min="4621" max="4621" width="19.33203125" style="138" customWidth="1"/>
    <col min="4622" max="4623" width="14.33203125" style="138" customWidth="1"/>
    <col min="4624" max="4624" width="18.88671875" style="138" customWidth="1"/>
    <col min="4625" max="4625" width="15.44140625" style="138" customWidth="1"/>
    <col min="4626" max="4628" width="16.88671875" style="138" customWidth="1"/>
    <col min="4629" max="4629" width="11.44140625" style="138"/>
    <col min="4630" max="4630" width="18.88671875" style="138" customWidth="1"/>
    <col min="4631" max="4631" width="16.109375" style="138" customWidth="1"/>
    <col min="4632" max="4863" width="11.44140625" style="138"/>
    <col min="4864" max="4864" width="5.6640625" style="138" customWidth="1"/>
    <col min="4865" max="4865" width="31.33203125" style="138" customWidth="1"/>
    <col min="4866" max="4866" width="21.6640625" style="138" customWidth="1"/>
    <col min="4867" max="4868" width="0" style="138" hidden="1" customWidth="1"/>
    <col min="4869" max="4870" width="16" style="138" customWidth="1"/>
    <col min="4871" max="4871" width="0" style="138" hidden="1" customWidth="1"/>
    <col min="4872" max="4872" width="16.88671875" style="138" customWidth="1"/>
    <col min="4873" max="4873" width="17" style="138" customWidth="1"/>
    <col min="4874" max="4874" width="15" style="138" customWidth="1"/>
    <col min="4875" max="4875" width="12.88671875" style="138" customWidth="1"/>
    <col min="4876" max="4876" width="13.44140625" style="138" customWidth="1"/>
    <col min="4877" max="4877" width="19.33203125" style="138" customWidth="1"/>
    <col min="4878" max="4879" width="14.33203125" style="138" customWidth="1"/>
    <col min="4880" max="4880" width="18.88671875" style="138" customWidth="1"/>
    <col min="4881" max="4881" width="15.44140625" style="138" customWidth="1"/>
    <col min="4882" max="4884" width="16.88671875" style="138" customWidth="1"/>
    <col min="4885" max="4885" width="11.44140625" style="138"/>
    <col min="4886" max="4886" width="18.88671875" style="138" customWidth="1"/>
    <col min="4887" max="4887" width="16.109375" style="138" customWidth="1"/>
    <col min="4888" max="5119" width="11.44140625" style="138"/>
    <col min="5120" max="5120" width="5.6640625" style="138" customWidth="1"/>
    <col min="5121" max="5121" width="31.33203125" style="138" customWidth="1"/>
    <col min="5122" max="5122" width="21.6640625" style="138" customWidth="1"/>
    <col min="5123" max="5124" width="0" style="138" hidden="1" customWidth="1"/>
    <col min="5125" max="5126" width="16" style="138" customWidth="1"/>
    <col min="5127" max="5127" width="0" style="138" hidden="1" customWidth="1"/>
    <col min="5128" max="5128" width="16.88671875" style="138" customWidth="1"/>
    <col min="5129" max="5129" width="17" style="138" customWidth="1"/>
    <col min="5130" max="5130" width="15" style="138" customWidth="1"/>
    <col min="5131" max="5131" width="12.88671875" style="138" customWidth="1"/>
    <col min="5132" max="5132" width="13.44140625" style="138" customWidth="1"/>
    <col min="5133" max="5133" width="19.33203125" style="138" customWidth="1"/>
    <col min="5134" max="5135" width="14.33203125" style="138" customWidth="1"/>
    <col min="5136" max="5136" width="18.88671875" style="138" customWidth="1"/>
    <col min="5137" max="5137" width="15.44140625" style="138" customWidth="1"/>
    <col min="5138" max="5140" width="16.88671875" style="138" customWidth="1"/>
    <col min="5141" max="5141" width="11.44140625" style="138"/>
    <col min="5142" max="5142" width="18.88671875" style="138" customWidth="1"/>
    <col min="5143" max="5143" width="16.109375" style="138" customWidth="1"/>
    <col min="5144" max="5375" width="11.44140625" style="138"/>
    <col min="5376" max="5376" width="5.6640625" style="138" customWidth="1"/>
    <col min="5377" max="5377" width="31.33203125" style="138" customWidth="1"/>
    <col min="5378" max="5378" width="21.6640625" style="138" customWidth="1"/>
    <col min="5379" max="5380" width="0" style="138" hidden="1" customWidth="1"/>
    <col min="5381" max="5382" width="16" style="138" customWidth="1"/>
    <col min="5383" max="5383" width="0" style="138" hidden="1" customWidth="1"/>
    <col min="5384" max="5384" width="16.88671875" style="138" customWidth="1"/>
    <col min="5385" max="5385" width="17" style="138" customWidth="1"/>
    <col min="5386" max="5386" width="15" style="138" customWidth="1"/>
    <col min="5387" max="5387" width="12.88671875" style="138" customWidth="1"/>
    <col min="5388" max="5388" width="13.44140625" style="138" customWidth="1"/>
    <col min="5389" max="5389" width="19.33203125" style="138" customWidth="1"/>
    <col min="5390" max="5391" width="14.33203125" style="138" customWidth="1"/>
    <col min="5392" max="5392" width="18.88671875" style="138" customWidth="1"/>
    <col min="5393" max="5393" width="15.44140625" style="138" customWidth="1"/>
    <col min="5394" max="5396" width="16.88671875" style="138" customWidth="1"/>
    <col min="5397" max="5397" width="11.44140625" style="138"/>
    <col min="5398" max="5398" width="18.88671875" style="138" customWidth="1"/>
    <col min="5399" max="5399" width="16.109375" style="138" customWidth="1"/>
    <col min="5400" max="5631" width="11.44140625" style="138"/>
    <col min="5632" max="5632" width="5.6640625" style="138" customWidth="1"/>
    <col min="5633" max="5633" width="31.33203125" style="138" customWidth="1"/>
    <col min="5634" max="5634" width="21.6640625" style="138" customWidth="1"/>
    <col min="5635" max="5636" width="0" style="138" hidden="1" customWidth="1"/>
    <col min="5637" max="5638" width="16" style="138" customWidth="1"/>
    <col min="5639" max="5639" width="0" style="138" hidden="1" customWidth="1"/>
    <col min="5640" max="5640" width="16.88671875" style="138" customWidth="1"/>
    <col min="5641" max="5641" width="17" style="138" customWidth="1"/>
    <col min="5642" max="5642" width="15" style="138" customWidth="1"/>
    <col min="5643" max="5643" width="12.88671875" style="138" customWidth="1"/>
    <col min="5644" max="5644" width="13.44140625" style="138" customWidth="1"/>
    <col min="5645" max="5645" width="19.33203125" style="138" customWidth="1"/>
    <col min="5646" max="5647" width="14.33203125" style="138" customWidth="1"/>
    <col min="5648" max="5648" width="18.88671875" style="138" customWidth="1"/>
    <col min="5649" max="5649" width="15.44140625" style="138" customWidth="1"/>
    <col min="5650" max="5652" width="16.88671875" style="138" customWidth="1"/>
    <col min="5653" max="5653" width="11.44140625" style="138"/>
    <col min="5654" max="5654" width="18.88671875" style="138" customWidth="1"/>
    <col min="5655" max="5655" width="16.109375" style="138" customWidth="1"/>
    <col min="5656" max="5887" width="11.44140625" style="138"/>
    <col min="5888" max="5888" width="5.6640625" style="138" customWidth="1"/>
    <col min="5889" max="5889" width="31.33203125" style="138" customWidth="1"/>
    <col min="5890" max="5890" width="21.6640625" style="138" customWidth="1"/>
    <col min="5891" max="5892" width="0" style="138" hidden="1" customWidth="1"/>
    <col min="5893" max="5894" width="16" style="138" customWidth="1"/>
    <col min="5895" max="5895" width="0" style="138" hidden="1" customWidth="1"/>
    <col min="5896" max="5896" width="16.88671875" style="138" customWidth="1"/>
    <col min="5897" max="5897" width="17" style="138" customWidth="1"/>
    <col min="5898" max="5898" width="15" style="138" customWidth="1"/>
    <col min="5899" max="5899" width="12.88671875" style="138" customWidth="1"/>
    <col min="5900" max="5900" width="13.44140625" style="138" customWidth="1"/>
    <col min="5901" max="5901" width="19.33203125" style="138" customWidth="1"/>
    <col min="5902" max="5903" width="14.33203125" style="138" customWidth="1"/>
    <col min="5904" max="5904" width="18.88671875" style="138" customWidth="1"/>
    <col min="5905" max="5905" width="15.44140625" style="138" customWidth="1"/>
    <col min="5906" max="5908" width="16.88671875" style="138" customWidth="1"/>
    <col min="5909" max="5909" width="11.44140625" style="138"/>
    <col min="5910" max="5910" width="18.88671875" style="138" customWidth="1"/>
    <col min="5911" max="5911" width="16.109375" style="138" customWidth="1"/>
    <col min="5912" max="6143" width="11.44140625" style="138"/>
    <col min="6144" max="6144" width="5.6640625" style="138" customWidth="1"/>
    <col min="6145" max="6145" width="31.33203125" style="138" customWidth="1"/>
    <col min="6146" max="6146" width="21.6640625" style="138" customWidth="1"/>
    <col min="6147" max="6148" width="0" style="138" hidden="1" customWidth="1"/>
    <col min="6149" max="6150" width="16" style="138" customWidth="1"/>
    <col min="6151" max="6151" width="0" style="138" hidden="1" customWidth="1"/>
    <col min="6152" max="6152" width="16.88671875" style="138" customWidth="1"/>
    <col min="6153" max="6153" width="17" style="138" customWidth="1"/>
    <col min="6154" max="6154" width="15" style="138" customWidth="1"/>
    <col min="6155" max="6155" width="12.88671875" style="138" customWidth="1"/>
    <col min="6156" max="6156" width="13.44140625" style="138" customWidth="1"/>
    <col min="6157" max="6157" width="19.33203125" style="138" customWidth="1"/>
    <col min="6158" max="6159" width="14.33203125" style="138" customWidth="1"/>
    <col min="6160" max="6160" width="18.88671875" style="138" customWidth="1"/>
    <col min="6161" max="6161" width="15.44140625" style="138" customWidth="1"/>
    <col min="6162" max="6164" width="16.88671875" style="138" customWidth="1"/>
    <col min="6165" max="6165" width="11.44140625" style="138"/>
    <col min="6166" max="6166" width="18.88671875" style="138" customWidth="1"/>
    <col min="6167" max="6167" width="16.109375" style="138" customWidth="1"/>
    <col min="6168" max="6399" width="11.44140625" style="138"/>
    <col min="6400" max="6400" width="5.6640625" style="138" customWidth="1"/>
    <col min="6401" max="6401" width="31.33203125" style="138" customWidth="1"/>
    <col min="6402" max="6402" width="21.6640625" style="138" customWidth="1"/>
    <col min="6403" max="6404" width="0" style="138" hidden="1" customWidth="1"/>
    <col min="6405" max="6406" width="16" style="138" customWidth="1"/>
    <col min="6407" max="6407" width="0" style="138" hidden="1" customWidth="1"/>
    <col min="6408" max="6408" width="16.88671875" style="138" customWidth="1"/>
    <col min="6409" max="6409" width="17" style="138" customWidth="1"/>
    <col min="6410" max="6410" width="15" style="138" customWidth="1"/>
    <col min="6411" max="6411" width="12.88671875" style="138" customWidth="1"/>
    <col min="6412" max="6412" width="13.44140625" style="138" customWidth="1"/>
    <col min="6413" max="6413" width="19.33203125" style="138" customWidth="1"/>
    <col min="6414" max="6415" width="14.33203125" style="138" customWidth="1"/>
    <col min="6416" max="6416" width="18.88671875" style="138" customWidth="1"/>
    <col min="6417" max="6417" width="15.44140625" style="138" customWidth="1"/>
    <col min="6418" max="6420" width="16.88671875" style="138" customWidth="1"/>
    <col min="6421" max="6421" width="11.44140625" style="138"/>
    <col min="6422" max="6422" width="18.88671875" style="138" customWidth="1"/>
    <col min="6423" max="6423" width="16.109375" style="138" customWidth="1"/>
    <col min="6424" max="6655" width="11.44140625" style="138"/>
    <col min="6656" max="6656" width="5.6640625" style="138" customWidth="1"/>
    <col min="6657" max="6657" width="31.33203125" style="138" customWidth="1"/>
    <col min="6658" max="6658" width="21.6640625" style="138" customWidth="1"/>
    <col min="6659" max="6660" width="0" style="138" hidden="1" customWidth="1"/>
    <col min="6661" max="6662" width="16" style="138" customWidth="1"/>
    <col min="6663" max="6663" width="0" style="138" hidden="1" customWidth="1"/>
    <col min="6664" max="6664" width="16.88671875" style="138" customWidth="1"/>
    <col min="6665" max="6665" width="17" style="138" customWidth="1"/>
    <col min="6666" max="6666" width="15" style="138" customWidth="1"/>
    <col min="6667" max="6667" width="12.88671875" style="138" customWidth="1"/>
    <col min="6668" max="6668" width="13.44140625" style="138" customWidth="1"/>
    <col min="6669" max="6669" width="19.33203125" style="138" customWidth="1"/>
    <col min="6670" max="6671" width="14.33203125" style="138" customWidth="1"/>
    <col min="6672" max="6672" width="18.88671875" style="138" customWidth="1"/>
    <col min="6673" max="6673" width="15.44140625" style="138" customWidth="1"/>
    <col min="6674" max="6676" width="16.88671875" style="138" customWidth="1"/>
    <col min="6677" max="6677" width="11.44140625" style="138"/>
    <col min="6678" max="6678" width="18.88671875" style="138" customWidth="1"/>
    <col min="6679" max="6679" width="16.109375" style="138" customWidth="1"/>
    <col min="6680" max="6911" width="11.44140625" style="138"/>
    <col min="6912" max="6912" width="5.6640625" style="138" customWidth="1"/>
    <col min="6913" max="6913" width="31.33203125" style="138" customWidth="1"/>
    <col min="6914" max="6914" width="21.6640625" style="138" customWidth="1"/>
    <col min="6915" max="6916" width="0" style="138" hidden="1" customWidth="1"/>
    <col min="6917" max="6918" width="16" style="138" customWidth="1"/>
    <col min="6919" max="6919" width="0" style="138" hidden="1" customWidth="1"/>
    <col min="6920" max="6920" width="16.88671875" style="138" customWidth="1"/>
    <col min="6921" max="6921" width="17" style="138" customWidth="1"/>
    <col min="6922" max="6922" width="15" style="138" customWidth="1"/>
    <col min="6923" max="6923" width="12.88671875" style="138" customWidth="1"/>
    <col min="6924" max="6924" width="13.44140625" style="138" customWidth="1"/>
    <col min="6925" max="6925" width="19.33203125" style="138" customWidth="1"/>
    <col min="6926" max="6927" width="14.33203125" style="138" customWidth="1"/>
    <col min="6928" max="6928" width="18.88671875" style="138" customWidth="1"/>
    <col min="6929" max="6929" width="15.44140625" style="138" customWidth="1"/>
    <col min="6930" max="6932" width="16.88671875" style="138" customWidth="1"/>
    <col min="6933" max="6933" width="11.44140625" style="138"/>
    <col min="6934" max="6934" width="18.88671875" style="138" customWidth="1"/>
    <col min="6935" max="6935" width="16.109375" style="138" customWidth="1"/>
    <col min="6936" max="7167" width="11.44140625" style="138"/>
    <col min="7168" max="7168" width="5.6640625" style="138" customWidth="1"/>
    <col min="7169" max="7169" width="31.33203125" style="138" customWidth="1"/>
    <col min="7170" max="7170" width="21.6640625" style="138" customWidth="1"/>
    <col min="7171" max="7172" width="0" style="138" hidden="1" customWidth="1"/>
    <col min="7173" max="7174" width="16" style="138" customWidth="1"/>
    <col min="7175" max="7175" width="0" style="138" hidden="1" customWidth="1"/>
    <col min="7176" max="7176" width="16.88671875" style="138" customWidth="1"/>
    <col min="7177" max="7177" width="17" style="138" customWidth="1"/>
    <col min="7178" max="7178" width="15" style="138" customWidth="1"/>
    <col min="7179" max="7179" width="12.88671875" style="138" customWidth="1"/>
    <col min="7180" max="7180" width="13.44140625" style="138" customWidth="1"/>
    <col min="7181" max="7181" width="19.33203125" style="138" customWidth="1"/>
    <col min="7182" max="7183" width="14.33203125" style="138" customWidth="1"/>
    <col min="7184" max="7184" width="18.88671875" style="138" customWidth="1"/>
    <col min="7185" max="7185" width="15.44140625" style="138" customWidth="1"/>
    <col min="7186" max="7188" width="16.88671875" style="138" customWidth="1"/>
    <col min="7189" max="7189" width="11.44140625" style="138"/>
    <col min="7190" max="7190" width="18.88671875" style="138" customWidth="1"/>
    <col min="7191" max="7191" width="16.109375" style="138" customWidth="1"/>
    <col min="7192" max="7423" width="11.44140625" style="138"/>
    <col min="7424" max="7424" width="5.6640625" style="138" customWidth="1"/>
    <col min="7425" max="7425" width="31.33203125" style="138" customWidth="1"/>
    <col min="7426" max="7426" width="21.6640625" style="138" customWidth="1"/>
    <col min="7427" max="7428" width="0" style="138" hidden="1" customWidth="1"/>
    <col min="7429" max="7430" width="16" style="138" customWidth="1"/>
    <col min="7431" max="7431" width="0" style="138" hidden="1" customWidth="1"/>
    <col min="7432" max="7432" width="16.88671875" style="138" customWidth="1"/>
    <col min="7433" max="7433" width="17" style="138" customWidth="1"/>
    <col min="7434" max="7434" width="15" style="138" customWidth="1"/>
    <col min="7435" max="7435" width="12.88671875" style="138" customWidth="1"/>
    <col min="7436" max="7436" width="13.44140625" style="138" customWidth="1"/>
    <col min="7437" max="7437" width="19.33203125" style="138" customWidth="1"/>
    <col min="7438" max="7439" width="14.33203125" style="138" customWidth="1"/>
    <col min="7440" max="7440" width="18.88671875" style="138" customWidth="1"/>
    <col min="7441" max="7441" width="15.44140625" style="138" customWidth="1"/>
    <col min="7442" max="7444" width="16.88671875" style="138" customWidth="1"/>
    <col min="7445" max="7445" width="11.44140625" style="138"/>
    <col min="7446" max="7446" width="18.88671875" style="138" customWidth="1"/>
    <col min="7447" max="7447" width="16.109375" style="138" customWidth="1"/>
    <col min="7448" max="7679" width="11.44140625" style="138"/>
    <col min="7680" max="7680" width="5.6640625" style="138" customWidth="1"/>
    <col min="7681" max="7681" width="31.33203125" style="138" customWidth="1"/>
    <col min="7682" max="7682" width="21.6640625" style="138" customWidth="1"/>
    <col min="7683" max="7684" width="0" style="138" hidden="1" customWidth="1"/>
    <col min="7685" max="7686" width="16" style="138" customWidth="1"/>
    <col min="7687" max="7687" width="0" style="138" hidden="1" customWidth="1"/>
    <col min="7688" max="7688" width="16.88671875" style="138" customWidth="1"/>
    <col min="7689" max="7689" width="17" style="138" customWidth="1"/>
    <col min="7690" max="7690" width="15" style="138" customWidth="1"/>
    <col min="7691" max="7691" width="12.88671875" style="138" customWidth="1"/>
    <col min="7692" max="7692" width="13.44140625" style="138" customWidth="1"/>
    <col min="7693" max="7693" width="19.33203125" style="138" customWidth="1"/>
    <col min="7694" max="7695" width="14.33203125" style="138" customWidth="1"/>
    <col min="7696" max="7696" width="18.88671875" style="138" customWidth="1"/>
    <col min="7697" max="7697" width="15.44140625" style="138" customWidth="1"/>
    <col min="7698" max="7700" width="16.88671875" style="138" customWidth="1"/>
    <col min="7701" max="7701" width="11.44140625" style="138"/>
    <col min="7702" max="7702" width="18.88671875" style="138" customWidth="1"/>
    <col min="7703" max="7703" width="16.109375" style="138" customWidth="1"/>
    <col min="7704" max="7935" width="11.44140625" style="138"/>
    <col min="7936" max="7936" width="5.6640625" style="138" customWidth="1"/>
    <col min="7937" max="7937" width="31.33203125" style="138" customWidth="1"/>
    <col min="7938" max="7938" width="21.6640625" style="138" customWidth="1"/>
    <col min="7939" max="7940" width="0" style="138" hidden="1" customWidth="1"/>
    <col min="7941" max="7942" width="16" style="138" customWidth="1"/>
    <col min="7943" max="7943" width="0" style="138" hidden="1" customWidth="1"/>
    <col min="7944" max="7944" width="16.88671875" style="138" customWidth="1"/>
    <col min="7945" max="7945" width="17" style="138" customWidth="1"/>
    <col min="7946" max="7946" width="15" style="138" customWidth="1"/>
    <col min="7947" max="7947" width="12.88671875" style="138" customWidth="1"/>
    <col min="7948" max="7948" width="13.44140625" style="138" customWidth="1"/>
    <col min="7949" max="7949" width="19.33203125" style="138" customWidth="1"/>
    <col min="7950" max="7951" width="14.33203125" style="138" customWidth="1"/>
    <col min="7952" max="7952" width="18.88671875" style="138" customWidth="1"/>
    <col min="7953" max="7953" width="15.44140625" style="138" customWidth="1"/>
    <col min="7954" max="7956" width="16.88671875" style="138" customWidth="1"/>
    <col min="7957" max="7957" width="11.44140625" style="138"/>
    <col min="7958" max="7958" width="18.88671875" style="138" customWidth="1"/>
    <col min="7959" max="7959" width="16.109375" style="138" customWidth="1"/>
    <col min="7960" max="8191" width="11.44140625" style="138"/>
    <col min="8192" max="8192" width="5.6640625" style="138" customWidth="1"/>
    <col min="8193" max="8193" width="31.33203125" style="138" customWidth="1"/>
    <col min="8194" max="8194" width="21.6640625" style="138" customWidth="1"/>
    <col min="8195" max="8196" width="0" style="138" hidden="1" customWidth="1"/>
    <col min="8197" max="8198" width="16" style="138" customWidth="1"/>
    <col min="8199" max="8199" width="0" style="138" hidden="1" customWidth="1"/>
    <col min="8200" max="8200" width="16.88671875" style="138" customWidth="1"/>
    <col min="8201" max="8201" width="17" style="138" customWidth="1"/>
    <col min="8202" max="8202" width="15" style="138" customWidth="1"/>
    <col min="8203" max="8203" width="12.88671875" style="138" customWidth="1"/>
    <col min="8204" max="8204" width="13.44140625" style="138" customWidth="1"/>
    <col min="8205" max="8205" width="19.33203125" style="138" customWidth="1"/>
    <col min="8206" max="8207" width="14.33203125" style="138" customWidth="1"/>
    <col min="8208" max="8208" width="18.88671875" style="138" customWidth="1"/>
    <col min="8209" max="8209" width="15.44140625" style="138" customWidth="1"/>
    <col min="8210" max="8212" width="16.88671875" style="138" customWidth="1"/>
    <col min="8213" max="8213" width="11.44140625" style="138"/>
    <col min="8214" max="8214" width="18.88671875" style="138" customWidth="1"/>
    <col min="8215" max="8215" width="16.109375" style="138" customWidth="1"/>
    <col min="8216" max="8447" width="11.44140625" style="138"/>
    <col min="8448" max="8448" width="5.6640625" style="138" customWidth="1"/>
    <col min="8449" max="8449" width="31.33203125" style="138" customWidth="1"/>
    <col min="8450" max="8450" width="21.6640625" style="138" customWidth="1"/>
    <col min="8451" max="8452" width="0" style="138" hidden="1" customWidth="1"/>
    <col min="8453" max="8454" width="16" style="138" customWidth="1"/>
    <col min="8455" max="8455" width="0" style="138" hidden="1" customWidth="1"/>
    <col min="8456" max="8456" width="16.88671875" style="138" customWidth="1"/>
    <col min="8457" max="8457" width="17" style="138" customWidth="1"/>
    <col min="8458" max="8458" width="15" style="138" customWidth="1"/>
    <col min="8459" max="8459" width="12.88671875" style="138" customWidth="1"/>
    <col min="8460" max="8460" width="13.44140625" style="138" customWidth="1"/>
    <col min="8461" max="8461" width="19.33203125" style="138" customWidth="1"/>
    <col min="8462" max="8463" width="14.33203125" style="138" customWidth="1"/>
    <col min="8464" max="8464" width="18.88671875" style="138" customWidth="1"/>
    <col min="8465" max="8465" width="15.44140625" style="138" customWidth="1"/>
    <col min="8466" max="8468" width="16.88671875" style="138" customWidth="1"/>
    <col min="8469" max="8469" width="11.44140625" style="138"/>
    <col min="8470" max="8470" width="18.88671875" style="138" customWidth="1"/>
    <col min="8471" max="8471" width="16.109375" style="138" customWidth="1"/>
    <col min="8472" max="8703" width="11.44140625" style="138"/>
    <col min="8704" max="8704" width="5.6640625" style="138" customWidth="1"/>
    <col min="8705" max="8705" width="31.33203125" style="138" customWidth="1"/>
    <col min="8706" max="8706" width="21.6640625" style="138" customWidth="1"/>
    <col min="8707" max="8708" width="0" style="138" hidden="1" customWidth="1"/>
    <col min="8709" max="8710" width="16" style="138" customWidth="1"/>
    <col min="8711" max="8711" width="0" style="138" hidden="1" customWidth="1"/>
    <col min="8712" max="8712" width="16.88671875" style="138" customWidth="1"/>
    <col min="8713" max="8713" width="17" style="138" customWidth="1"/>
    <col min="8714" max="8714" width="15" style="138" customWidth="1"/>
    <col min="8715" max="8715" width="12.88671875" style="138" customWidth="1"/>
    <col min="8716" max="8716" width="13.44140625" style="138" customWidth="1"/>
    <col min="8717" max="8717" width="19.33203125" style="138" customWidth="1"/>
    <col min="8718" max="8719" width="14.33203125" style="138" customWidth="1"/>
    <col min="8720" max="8720" width="18.88671875" style="138" customWidth="1"/>
    <col min="8721" max="8721" width="15.44140625" style="138" customWidth="1"/>
    <col min="8722" max="8724" width="16.88671875" style="138" customWidth="1"/>
    <col min="8725" max="8725" width="11.44140625" style="138"/>
    <col min="8726" max="8726" width="18.88671875" style="138" customWidth="1"/>
    <col min="8727" max="8727" width="16.109375" style="138" customWidth="1"/>
    <col min="8728" max="8959" width="11.44140625" style="138"/>
    <col min="8960" max="8960" width="5.6640625" style="138" customWidth="1"/>
    <col min="8961" max="8961" width="31.33203125" style="138" customWidth="1"/>
    <col min="8962" max="8962" width="21.6640625" style="138" customWidth="1"/>
    <col min="8963" max="8964" width="0" style="138" hidden="1" customWidth="1"/>
    <col min="8965" max="8966" width="16" style="138" customWidth="1"/>
    <col min="8967" max="8967" width="0" style="138" hidden="1" customWidth="1"/>
    <col min="8968" max="8968" width="16.88671875" style="138" customWidth="1"/>
    <col min="8969" max="8969" width="17" style="138" customWidth="1"/>
    <col min="8970" max="8970" width="15" style="138" customWidth="1"/>
    <col min="8971" max="8971" width="12.88671875" style="138" customWidth="1"/>
    <col min="8972" max="8972" width="13.44140625" style="138" customWidth="1"/>
    <col min="8973" max="8973" width="19.33203125" style="138" customWidth="1"/>
    <col min="8974" max="8975" width="14.33203125" style="138" customWidth="1"/>
    <col min="8976" max="8976" width="18.88671875" style="138" customWidth="1"/>
    <col min="8977" max="8977" width="15.44140625" style="138" customWidth="1"/>
    <col min="8978" max="8980" width="16.88671875" style="138" customWidth="1"/>
    <col min="8981" max="8981" width="11.44140625" style="138"/>
    <col min="8982" max="8982" width="18.88671875" style="138" customWidth="1"/>
    <col min="8983" max="8983" width="16.109375" style="138" customWidth="1"/>
    <col min="8984" max="9215" width="11.44140625" style="138"/>
    <col min="9216" max="9216" width="5.6640625" style="138" customWidth="1"/>
    <col min="9217" max="9217" width="31.33203125" style="138" customWidth="1"/>
    <col min="9218" max="9218" width="21.6640625" style="138" customWidth="1"/>
    <col min="9219" max="9220" width="0" style="138" hidden="1" customWidth="1"/>
    <col min="9221" max="9222" width="16" style="138" customWidth="1"/>
    <col min="9223" max="9223" width="0" style="138" hidden="1" customWidth="1"/>
    <col min="9224" max="9224" width="16.88671875" style="138" customWidth="1"/>
    <col min="9225" max="9225" width="17" style="138" customWidth="1"/>
    <col min="9226" max="9226" width="15" style="138" customWidth="1"/>
    <col min="9227" max="9227" width="12.88671875" style="138" customWidth="1"/>
    <col min="9228" max="9228" width="13.44140625" style="138" customWidth="1"/>
    <col min="9229" max="9229" width="19.33203125" style="138" customWidth="1"/>
    <col min="9230" max="9231" width="14.33203125" style="138" customWidth="1"/>
    <col min="9232" max="9232" width="18.88671875" style="138" customWidth="1"/>
    <col min="9233" max="9233" width="15.44140625" style="138" customWidth="1"/>
    <col min="9234" max="9236" width="16.88671875" style="138" customWidth="1"/>
    <col min="9237" max="9237" width="11.44140625" style="138"/>
    <col min="9238" max="9238" width="18.88671875" style="138" customWidth="1"/>
    <col min="9239" max="9239" width="16.109375" style="138" customWidth="1"/>
    <col min="9240" max="9471" width="11.44140625" style="138"/>
    <col min="9472" max="9472" width="5.6640625" style="138" customWidth="1"/>
    <col min="9473" max="9473" width="31.33203125" style="138" customWidth="1"/>
    <col min="9474" max="9474" width="21.6640625" style="138" customWidth="1"/>
    <col min="9475" max="9476" width="0" style="138" hidden="1" customWidth="1"/>
    <col min="9477" max="9478" width="16" style="138" customWidth="1"/>
    <col min="9479" max="9479" width="0" style="138" hidden="1" customWidth="1"/>
    <col min="9480" max="9480" width="16.88671875" style="138" customWidth="1"/>
    <col min="9481" max="9481" width="17" style="138" customWidth="1"/>
    <col min="9482" max="9482" width="15" style="138" customWidth="1"/>
    <col min="9483" max="9483" width="12.88671875" style="138" customWidth="1"/>
    <col min="9484" max="9484" width="13.44140625" style="138" customWidth="1"/>
    <col min="9485" max="9485" width="19.33203125" style="138" customWidth="1"/>
    <col min="9486" max="9487" width="14.33203125" style="138" customWidth="1"/>
    <col min="9488" max="9488" width="18.88671875" style="138" customWidth="1"/>
    <col min="9489" max="9489" width="15.44140625" style="138" customWidth="1"/>
    <col min="9490" max="9492" width="16.88671875" style="138" customWidth="1"/>
    <col min="9493" max="9493" width="11.44140625" style="138"/>
    <col min="9494" max="9494" width="18.88671875" style="138" customWidth="1"/>
    <col min="9495" max="9495" width="16.109375" style="138" customWidth="1"/>
    <col min="9496" max="9727" width="11.44140625" style="138"/>
    <col min="9728" max="9728" width="5.6640625" style="138" customWidth="1"/>
    <col min="9729" max="9729" width="31.33203125" style="138" customWidth="1"/>
    <col min="9730" max="9730" width="21.6640625" style="138" customWidth="1"/>
    <col min="9731" max="9732" width="0" style="138" hidden="1" customWidth="1"/>
    <col min="9733" max="9734" width="16" style="138" customWidth="1"/>
    <col min="9735" max="9735" width="0" style="138" hidden="1" customWidth="1"/>
    <col min="9736" max="9736" width="16.88671875" style="138" customWidth="1"/>
    <col min="9737" max="9737" width="17" style="138" customWidth="1"/>
    <col min="9738" max="9738" width="15" style="138" customWidth="1"/>
    <col min="9739" max="9739" width="12.88671875" style="138" customWidth="1"/>
    <col min="9740" max="9740" width="13.44140625" style="138" customWidth="1"/>
    <col min="9741" max="9741" width="19.33203125" style="138" customWidth="1"/>
    <col min="9742" max="9743" width="14.33203125" style="138" customWidth="1"/>
    <col min="9744" max="9744" width="18.88671875" style="138" customWidth="1"/>
    <col min="9745" max="9745" width="15.44140625" style="138" customWidth="1"/>
    <col min="9746" max="9748" width="16.88671875" style="138" customWidth="1"/>
    <col min="9749" max="9749" width="11.44140625" style="138"/>
    <col min="9750" max="9750" width="18.88671875" style="138" customWidth="1"/>
    <col min="9751" max="9751" width="16.109375" style="138" customWidth="1"/>
    <col min="9752" max="9983" width="11.44140625" style="138"/>
    <col min="9984" max="9984" width="5.6640625" style="138" customWidth="1"/>
    <col min="9985" max="9985" width="31.33203125" style="138" customWidth="1"/>
    <col min="9986" max="9986" width="21.6640625" style="138" customWidth="1"/>
    <col min="9987" max="9988" width="0" style="138" hidden="1" customWidth="1"/>
    <col min="9989" max="9990" width="16" style="138" customWidth="1"/>
    <col min="9991" max="9991" width="0" style="138" hidden="1" customWidth="1"/>
    <col min="9992" max="9992" width="16.88671875" style="138" customWidth="1"/>
    <col min="9993" max="9993" width="17" style="138" customWidth="1"/>
    <col min="9994" max="9994" width="15" style="138" customWidth="1"/>
    <col min="9995" max="9995" width="12.88671875" style="138" customWidth="1"/>
    <col min="9996" max="9996" width="13.44140625" style="138" customWidth="1"/>
    <col min="9997" max="9997" width="19.33203125" style="138" customWidth="1"/>
    <col min="9998" max="9999" width="14.33203125" style="138" customWidth="1"/>
    <col min="10000" max="10000" width="18.88671875" style="138" customWidth="1"/>
    <col min="10001" max="10001" width="15.44140625" style="138" customWidth="1"/>
    <col min="10002" max="10004" width="16.88671875" style="138" customWidth="1"/>
    <col min="10005" max="10005" width="11.44140625" style="138"/>
    <col min="10006" max="10006" width="18.88671875" style="138" customWidth="1"/>
    <col min="10007" max="10007" width="16.109375" style="138" customWidth="1"/>
    <col min="10008" max="10239" width="11.44140625" style="138"/>
    <col min="10240" max="10240" width="5.6640625" style="138" customWidth="1"/>
    <col min="10241" max="10241" width="31.33203125" style="138" customWidth="1"/>
    <col min="10242" max="10242" width="21.6640625" style="138" customWidth="1"/>
    <col min="10243" max="10244" width="0" style="138" hidden="1" customWidth="1"/>
    <col min="10245" max="10246" width="16" style="138" customWidth="1"/>
    <col min="10247" max="10247" width="0" style="138" hidden="1" customWidth="1"/>
    <col min="10248" max="10248" width="16.88671875" style="138" customWidth="1"/>
    <col min="10249" max="10249" width="17" style="138" customWidth="1"/>
    <col min="10250" max="10250" width="15" style="138" customWidth="1"/>
    <col min="10251" max="10251" width="12.88671875" style="138" customWidth="1"/>
    <col min="10252" max="10252" width="13.44140625" style="138" customWidth="1"/>
    <col min="10253" max="10253" width="19.33203125" style="138" customWidth="1"/>
    <col min="10254" max="10255" width="14.33203125" style="138" customWidth="1"/>
    <col min="10256" max="10256" width="18.88671875" style="138" customWidth="1"/>
    <col min="10257" max="10257" width="15.44140625" style="138" customWidth="1"/>
    <col min="10258" max="10260" width="16.88671875" style="138" customWidth="1"/>
    <col min="10261" max="10261" width="11.44140625" style="138"/>
    <col min="10262" max="10262" width="18.88671875" style="138" customWidth="1"/>
    <col min="10263" max="10263" width="16.109375" style="138" customWidth="1"/>
    <col min="10264" max="10495" width="11.44140625" style="138"/>
    <col min="10496" max="10496" width="5.6640625" style="138" customWidth="1"/>
    <col min="10497" max="10497" width="31.33203125" style="138" customWidth="1"/>
    <col min="10498" max="10498" width="21.6640625" style="138" customWidth="1"/>
    <col min="10499" max="10500" width="0" style="138" hidden="1" customWidth="1"/>
    <col min="10501" max="10502" width="16" style="138" customWidth="1"/>
    <col min="10503" max="10503" width="0" style="138" hidden="1" customWidth="1"/>
    <col min="10504" max="10504" width="16.88671875" style="138" customWidth="1"/>
    <col min="10505" max="10505" width="17" style="138" customWidth="1"/>
    <col min="10506" max="10506" width="15" style="138" customWidth="1"/>
    <col min="10507" max="10507" width="12.88671875" style="138" customWidth="1"/>
    <col min="10508" max="10508" width="13.44140625" style="138" customWidth="1"/>
    <col min="10509" max="10509" width="19.33203125" style="138" customWidth="1"/>
    <col min="10510" max="10511" width="14.33203125" style="138" customWidth="1"/>
    <col min="10512" max="10512" width="18.88671875" style="138" customWidth="1"/>
    <col min="10513" max="10513" width="15.44140625" style="138" customWidth="1"/>
    <col min="10514" max="10516" width="16.88671875" style="138" customWidth="1"/>
    <col min="10517" max="10517" width="11.44140625" style="138"/>
    <col min="10518" max="10518" width="18.88671875" style="138" customWidth="1"/>
    <col min="10519" max="10519" width="16.109375" style="138" customWidth="1"/>
    <col min="10520" max="10751" width="11.44140625" style="138"/>
    <col min="10752" max="10752" width="5.6640625" style="138" customWidth="1"/>
    <col min="10753" max="10753" width="31.33203125" style="138" customWidth="1"/>
    <col min="10754" max="10754" width="21.6640625" style="138" customWidth="1"/>
    <col min="10755" max="10756" width="0" style="138" hidden="1" customWidth="1"/>
    <col min="10757" max="10758" width="16" style="138" customWidth="1"/>
    <col min="10759" max="10759" width="0" style="138" hidden="1" customWidth="1"/>
    <col min="10760" max="10760" width="16.88671875" style="138" customWidth="1"/>
    <col min="10761" max="10761" width="17" style="138" customWidth="1"/>
    <col min="10762" max="10762" width="15" style="138" customWidth="1"/>
    <col min="10763" max="10763" width="12.88671875" style="138" customWidth="1"/>
    <col min="10764" max="10764" width="13.44140625" style="138" customWidth="1"/>
    <col min="10765" max="10765" width="19.33203125" style="138" customWidth="1"/>
    <col min="10766" max="10767" width="14.33203125" style="138" customWidth="1"/>
    <col min="10768" max="10768" width="18.88671875" style="138" customWidth="1"/>
    <col min="10769" max="10769" width="15.44140625" style="138" customWidth="1"/>
    <col min="10770" max="10772" width="16.88671875" style="138" customWidth="1"/>
    <col min="10773" max="10773" width="11.44140625" style="138"/>
    <col min="10774" max="10774" width="18.88671875" style="138" customWidth="1"/>
    <col min="10775" max="10775" width="16.109375" style="138" customWidth="1"/>
    <col min="10776" max="11007" width="11.44140625" style="138"/>
    <col min="11008" max="11008" width="5.6640625" style="138" customWidth="1"/>
    <col min="11009" max="11009" width="31.33203125" style="138" customWidth="1"/>
    <col min="11010" max="11010" width="21.6640625" style="138" customWidth="1"/>
    <col min="11011" max="11012" width="0" style="138" hidden="1" customWidth="1"/>
    <col min="11013" max="11014" width="16" style="138" customWidth="1"/>
    <col min="11015" max="11015" width="0" style="138" hidden="1" customWidth="1"/>
    <col min="11016" max="11016" width="16.88671875" style="138" customWidth="1"/>
    <col min="11017" max="11017" width="17" style="138" customWidth="1"/>
    <col min="11018" max="11018" width="15" style="138" customWidth="1"/>
    <col min="11019" max="11019" width="12.88671875" style="138" customWidth="1"/>
    <col min="11020" max="11020" width="13.44140625" style="138" customWidth="1"/>
    <col min="11021" max="11021" width="19.33203125" style="138" customWidth="1"/>
    <col min="11022" max="11023" width="14.33203125" style="138" customWidth="1"/>
    <col min="11024" max="11024" width="18.88671875" style="138" customWidth="1"/>
    <col min="11025" max="11025" width="15.44140625" style="138" customWidth="1"/>
    <col min="11026" max="11028" width="16.88671875" style="138" customWidth="1"/>
    <col min="11029" max="11029" width="11.44140625" style="138"/>
    <col min="11030" max="11030" width="18.88671875" style="138" customWidth="1"/>
    <col min="11031" max="11031" width="16.109375" style="138" customWidth="1"/>
    <col min="11032" max="11263" width="11.44140625" style="138"/>
    <col min="11264" max="11264" width="5.6640625" style="138" customWidth="1"/>
    <col min="11265" max="11265" width="31.33203125" style="138" customWidth="1"/>
    <col min="11266" max="11266" width="21.6640625" style="138" customWidth="1"/>
    <col min="11267" max="11268" width="0" style="138" hidden="1" customWidth="1"/>
    <col min="11269" max="11270" width="16" style="138" customWidth="1"/>
    <col min="11271" max="11271" width="0" style="138" hidden="1" customWidth="1"/>
    <col min="11272" max="11272" width="16.88671875" style="138" customWidth="1"/>
    <col min="11273" max="11273" width="17" style="138" customWidth="1"/>
    <col min="11274" max="11274" width="15" style="138" customWidth="1"/>
    <col min="11275" max="11275" width="12.88671875" style="138" customWidth="1"/>
    <col min="11276" max="11276" width="13.44140625" style="138" customWidth="1"/>
    <col min="11277" max="11277" width="19.33203125" style="138" customWidth="1"/>
    <col min="11278" max="11279" width="14.33203125" style="138" customWidth="1"/>
    <col min="11280" max="11280" width="18.88671875" style="138" customWidth="1"/>
    <col min="11281" max="11281" width="15.44140625" style="138" customWidth="1"/>
    <col min="11282" max="11284" width="16.88671875" style="138" customWidth="1"/>
    <col min="11285" max="11285" width="11.44140625" style="138"/>
    <col min="11286" max="11286" width="18.88671875" style="138" customWidth="1"/>
    <col min="11287" max="11287" width="16.109375" style="138" customWidth="1"/>
    <col min="11288" max="11519" width="11.44140625" style="138"/>
    <col min="11520" max="11520" width="5.6640625" style="138" customWidth="1"/>
    <col min="11521" max="11521" width="31.33203125" style="138" customWidth="1"/>
    <col min="11522" max="11522" width="21.6640625" style="138" customWidth="1"/>
    <col min="11523" max="11524" width="0" style="138" hidden="1" customWidth="1"/>
    <col min="11525" max="11526" width="16" style="138" customWidth="1"/>
    <col min="11527" max="11527" width="0" style="138" hidden="1" customWidth="1"/>
    <col min="11528" max="11528" width="16.88671875" style="138" customWidth="1"/>
    <col min="11529" max="11529" width="17" style="138" customWidth="1"/>
    <col min="11530" max="11530" width="15" style="138" customWidth="1"/>
    <col min="11531" max="11531" width="12.88671875" style="138" customWidth="1"/>
    <col min="11532" max="11532" width="13.44140625" style="138" customWidth="1"/>
    <col min="11533" max="11533" width="19.33203125" style="138" customWidth="1"/>
    <col min="11534" max="11535" width="14.33203125" style="138" customWidth="1"/>
    <col min="11536" max="11536" width="18.88671875" style="138" customWidth="1"/>
    <col min="11537" max="11537" width="15.44140625" style="138" customWidth="1"/>
    <col min="11538" max="11540" width="16.88671875" style="138" customWidth="1"/>
    <col min="11541" max="11541" width="11.44140625" style="138"/>
    <col min="11542" max="11542" width="18.88671875" style="138" customWidth="1"/>
    <col min="11543" max="11543" width="16.109375" style="138" customWidth="1"/>
    <col min="11544" max="11775" width="11.44140625" style="138"/>
    <col min="11776" max="11776" width="5.6640625" style="138" customWidth="1"/>
    <col min="11777" max="11777" width="31.33203125" style="138" customWidth="1"/>
    <col min="11778" max="11778" width="21.6640625" style="138" customWidth="1"/>
    <col min="11779" max="11780" width="0" style="138" hidden="1" customWidth="1"/>
    <col min="11781" max="11782" width="16" style="138" customWidth="1"/>
    <col min="11783" max="11783" width="0" style="138" hidden="1" customWidth="1"/>
    <col min="11784" max="11784" width="16.88671875" style="138" customWidth="1"/>
    <col min="11785" max="11785" width="17" style="138" customWidth="1"/>
    <col min="11786" max="11786" width="15" style="138" customWidth="1"/>
    <col min="11787" max="11787" width="12.88671875" style="138" customWidth="1"/>
    <col min="11788" max="11788" width="13.44140625" style="138" customWidth="1"/>
    <col min="11789" max="11789" width="19.33203125" style="138" customWidth="1"/>
    <col min="11790" max="11791" width="14.33203125" style="138" customWidth="1"/>
    <col min="11792" max="11792" width="18.88671875" style="138" customWidth="1"/>
    <col min="11793" max="11793" width="15.44140625" style="138" customWidth="1"/>
    <col min="11794" max="11796" width="16.88671875" style="138" customWidth="1"/>
    <col min="11797" max="11797" width="11.44140625" style="138"/>
    <col min="11798" max="11798" width="18.88671875" style="138" customWidth="1"/>
    <col min="11799" max="11799" width="16.109375" style="138" customWidth="1"/>
    <col min="11800" max="12031" width="11.44140625" style="138"/>
    <col min="12032" max="12032" width="5.6640625" style="138" customWidth="1"/>
    <col min="12033" max="12033" width="31.33203125" style="138" customWidth="1"/>
    <col min="12034" max="12034" width="21.6640625" style="138" customWidth="1"/>
    <col min="12035" max="12036" width="0" style="138" hidden="1" customWidth="1"/>
    <col min="12037" max="12038" width="16" style="138" customWidth="1"/>
    <col min="12039" max="12039" width="0" style="138" hidden="1" customWidth="1"/>
    <col min="12040" max="12040" width="16.88671875" style="138" customWidth="1"/>
    <col min="12041" max="12041" width="17" style="138" customWidth="1"/>
    <col min="12042" max="12042" width="15" style="138" customWidth="1"/>
    <col min="12043" max="12043" width="12.88671875" style="138" customWidth="1"/>
    <col min="12044" max="12044" width="13.44140625" style="138" customWidth="1"/>
    <col min="12045" max="12045" width="19.33203125" style="138" customWidth="1"/>
    <col min="12046" max="12047" width="14.33203125" style="138" customWidth="1"/>
    <col min="12048" max="12048" width="18.88671875" style="138" customWidth="1"/>
    <col min="12049" max="12049" width="15.44140625" style="138" customWidth="1"/>
    <col min="12050" max="12052" width="16.88671875" style="138" customWidth="1"/>
    <col min="12053" max="12053" width="11.44140625" style="138"/>
    <col min="12054" max="12054" width="18.88671875" style="138" customWidth="1"/>
    <col min="12055" max="12055" width="16.109375" style="138" customWidth="1"/>
    <col min="12056" max="12287" width="11.44140625" style="138"/>
    <col min="12288" max="12288" width="5.6640625" style="138" customWidth="1"/>
    <col min="12289" max="12289" width="31.33203125" style="138" customWidth="1"/>
    <col min="12290" max="12290" width="21.6640625" style="138" customWidth="1"/>
    <col min="12291" max="12292" width="0" style="138" hidden="1" customWidth="1"/>
    <col min="12293" max="12294" width="16" style="138" customWidth="1"/>
    <col min="12295" max="12295" width="0" style="138" hidden="1" customWidth="1"/>
    <col min="12296" max="12296" width="16.88671875" style="138" customWidth="1"/>
    <col min="12297" max="12297" width="17" style="138" customWidth="1"/>
    <col min="12298" max="12298" width="15" style="138" customWidth="1"/>
    <col min="12299" max="12299" width="12.88671875" style="138" customWidth="1"/>
    <col min="12300" max="12300" width="13.44140625" style="138" customWidth="1"/>
    <col min="12301" max="12301" width="19.33203125" style="138" customWidth="1"/>
    <col min="12302" max="12303" width="14.33203125" style="138" customWidth="1"/>
    <col min="12304" max="12304" width="18.88671875" style="138" customWidth="1"/>
    <col min="12305" max="12305" width="15.44140625" style="138" customWidth="1"/>
    <col min="12306" max="12308" width="16.88671875" style="138" customWidth="1"/>
    <col min="12309" max="12309" width="11.44140625" style="138"/>
    <col min="12310" max="12310" width="18.88671875" style="138" customWidth="1"/>
    <col min="12311" max="12311" width="16.109375" style="138" customWidth="1"/>
    <col min="12312" max="12543" width="11.44140625" style="138"/>
    <col min="12544" max="12544" width="5.6640625" style="138" customWidth="1"/>
    <col min="12545" max="12545" width="31.33203125" style="138" customWidth="1"/>
    <col min="12546" max="12546" width="21.6640625" style="138" customWidth="1"/>
    <col min="12547" max="12548" width="0" style="138" hidden="1" customWidth="1"/>
    <col min="12549" max="12550" width="16" style="138" customWidth="1"/>
    <col min="12551" max="12551" width="0" style="138" hidden="1" customWidth="1"/>
    <col min="12552" max="12552" width="16.88671875" style="138" customWidth="1"/>
    <col min="12553" max="12553" width="17" style="138" customWidth="1"/>
    <col min="12554" max="12554" width="15" style="138" customWidth="1"/>
    <col min="12555" max="12555" width="12.88671875" style="138" customWidth="1"/>
    <col min="12556" max="12556" width="13.44140625" style="138" customWidth="1"/>
    <col min="12557" max="12557" width="19.33203125" style="138" customWidth="1"/>
    <col min="12558" max="12559" width="14.33203125" style="138" customWidth="1"/>
    <col min="12560" max="12560" width="18.88671875" style="138" customWidth="1"/>
    <col min="12561" max="12561" width="15.44140625" style="138" customWidth="1"/>
    <col min="12562" max="12564" width="16.88671875" style="138" customWidth="1"/>
    <col min="12565" max="12565" width="11.44140625" style="138"/>
    <col min="12566" max="12566" width="18.88671875" style="138" customWidth="1"/>
    <col min="12567" max="12567" width="16.109375" style="138" customWidth="1"/>
    <col min="12568" max="12799" width="11.44140625" style="138"/>
    <col min="12800" max="12800" width="5.6640625" style="138" customWidth="1"/>
    <col min="12801" max="12801" width="31.33203125" style="138" customWidth="1"/>
    <col min="12802" max="12802" width="21.6640625" style="138" customWidth="1"/>
    <col min="12803" max="12804" width="0" style="138" hidden="1" customWidth="1"/>
    <col min="12805" max="12806" width="16" style="138" customWidth="1"/>
    <col min="12807" max="12807" width="0" style="138" hidden="1" customWidth="1"/>
    <col min="12808" max="12808" width="16.88671875" style="138" customWidth="1"/>
    <col min="12809" max="12809" width="17" style="138" customWidth="1"/>
    <col min="12810" max="12810" width="15" style="138" customWidth="1"/>
    <col min="12811" max="12811" width="12.88671875" style="138" customWidth="1"/>
    <col min="12812" max="12812" width="13.44140625" style="138" customWidth="1"/>
    <col min="12813" max="12813" width="19.33203125" style="138" customWidth="1"/>
    <col min="12814" max="12815" width="14.33203125" style="138" customWidth="1"/>
    <col min="12816" max="12816" width="18.88671875" style="138" customWidth="1"/>
    <col min="12817" max="12817" width="15.44140625" style="138" customWidth="1"/>
    <col min="12818" max="12820" width="16.88671875" style="138" customWidth="1"/>
    <col min="12821" max="12821" width="11.44140625" style="138"/>
    <col min="12822" max="12822" width="18.88671875" style="138" customWidth="1"/>
    <col min="12823" max="12823" width="16.109375" style="138" customWidth="1"/>
    <col min="12824" max="13055" width="11.44140625" style="138"/>
    <col min="13056" max="13056" width="5.6640625" style="138" customWidth="1"/>
    <col min="13057" max="13057" width="31.33203125" style="138" customWidth="1"/>
    <col min="13058" max="13058" width="21.6640625" style="138" customWidth="1"/>
    <col min="13059" max="13060" width="0" style="138" hidden="1" customWidth="1"/>
    <col min="13061" max="13062" width="16" style="138" customWidth="1"/>
    <col min="13063" max="13063" width="0" style="138" hidden="1" customWidth="1"/>
    <col min="13064" max="13064" width="16.88671875" style="138" customWidth="1"/>
    <col min="13065" max="13065" width="17" style="138" customWidth="1"/>
    <col min="13066" max="13066" width="15" style="138" customWidth="1"/>
    <col min="13067" max="13067" width="12.88671875" style="138" customWidth="1"/>
    <col min="13068" max="13068" width="13.44140625" style="138" customWidth="1"/>
    <col min="13069" max="13069" width="19.33203125" style="138" customWidth="1"/>
    <col min="13070" max="13071" width="14.33203125" style="138" customWidth="1"/>
    <col min="13072" max="13072" width="18.88671875" style="138" customWidth="1"/>
    <col min="13073" max="13073" width="15.44140625" style="138" customWidth="1"/>
    <col min="13074" max="13076" width="16.88671875" style="138" customWidth="1"/>
    <col min="13077" max="13077" width="11.44140625" style="138"/>
    <col min="13078" max="13078" width="18.88671875" style="138" customWidth="1"/>
    <col min="13079" max="13079" width="16.109375" style="138" customWidth="1"/>
    <col min="13080" max="13311" width="11.44140625" style="138"/>
    <col min="13312" max="13312" width="5.6640625" style="138" customWidth="1"/>
    <col min="13313" max="13313" width="31.33203125" style="138" customWidth="1"/>
    <col min="13314" max="13314" width="21.6640625" style="138" customWidth="1"/>
    <col min="13315" max="13316" width="0" style="138" hidden="1" customWidth="1"/>
    <col min="13317" max="13318" width="16" style="138" customWidth="1"/>
    <col min="13319" max="13319" width="0" style="138" hidden="1" customWidth="1"/>
    <col min="13320" max="13320" width="16.88671875" style="138" customWidth="1"/>
    <col min="13321" max="13321" width="17" style="138" customWidth="1"/>
    <col min="13322" max="13322" width="15" style="138" customWidth="1"/>
    <col min="13323" max="13323" width="12.88671875" style="138" customWidth="1"/>
    <col min="13324" max="13324" width="13.44140625" style="138" customWidth="1"/>
    <col min="13325" max="13325" width="19.33203125" style="138" customWidth="1"/>
    <col min="13326" max="13327" width="14.33203125" style="138" customWidth="1"/>
    <col min="13328" max="13328" width="18.88671875" style="138" customWidth="1"/>
    <col min="13329" max="13329" width="15.44140625" style="138" customWidth="1"/>
    <col min="13330" max="13332" width="16.88671875" style="138" customWidth="1"/>
    <col min="13333" max="13333" width="11.44140625" style="138"/>
    <col min="13334" max="13334" width="18.88671875" style="138" customWidth="1"/>
    <col min="13335" max="13335" width="16.109375" style="138" customWidth="1"/>
    <col min="13336" max="13567" width="11.44140625" style="138"/>
    <col min="13568" max="13568" width="5.6640625" style="138" customWidth="1"/>
    <col min="13569" max="13569" width="31.33203125" style="138" customWidth="1"/>
    <col min="13570" max="13570" width="21.6640625" style="138" customWidth="1"/>
    <col min="13571" max="13572" width="0" style="138" hidden="1" customWidth="1"/>
    <col min="13573" max="13574" width="16" style="138" customWidth="1"/>
    <col min="13575" max="13575" width="0" style="138" hidden="1" customWidth="1"/>
    <col min="13576" max="13576" width="16.88671875" style="138" customWidth="1"/>
    <col min="13577" max="13577" width="17" style="138" customWidth="1"/>
    <col min="13578" max="13578" width="15" style="138" customWidth="1"/>
    <col min="13579" max="13579" width="12.88671875" style="138" customWidth="1"/>
    <col min="13580" max="13580" width="13.44140625" style="138" customWidth="1"/>
    <col min="13581" max="13581" width="19.33203125" style="138" customWidth="1"/>
    <col min="13582" max="13583" width="14.33203125" style="138" customWidth="1"/>
    <col min="13584" max="13584" width="18.88671875" style="138" customWidth="1"/>
    <col min="13585" max="13585" width="15.44140625" style="138" customWidth="1"/>
    <col min="13586" max="13588" width="16.88671875" style="138" customWidth="1"/>
    <col min="13589" max="13589" width="11.44140625" style="138"/>
    <col min="13590" max="13590" width="18.88671875" style="138" customWidth="1"/>
    <col min="13591" max="13591" width="16.109375" style="138" customWidth="1"/>
    <col min="13592" max="13823" width="11.44140625" style="138"/>
    <col min="13824" max="13824" width="5.6640625" style="138" customWidth="1"/>
    <col min="13825" max="13825" width="31.33203125" style="138" customWidth="1"/>
    <col min="13826" max="13826" width="21.6640625" style="138" customWidth="1"/>
    <col min="13827" max="13828" width="0" style="138" hidden="1" customWidth="1"/>
    <col min="13829" max="13830" width="16" style="138" customWidth="1"/>
    <col min="13831" max="13831" width="0" style="138" hidden="1" customWidth="1"/>
    <col min="13832" max="13832" width="16.88671875" style="138" customWidth="1"/>
    <col min="13833" max="13833" width="17" style="138" customWidth="1"/>
    <col min="13834" max="13834" width="15" style="138" customWidth="1"/>
    <col min="13835" max="13835" width="12.88671875" style="138" customWidth="1"/>
    <col min="13836" max="13836" width="13.44140625" style="138" customWidth="1"/>
    <col min="13837" max="13837" width="19.33203125" style="138" customWidth="1"/>
    <col min="13838" max="13839" width="14.33203125" style="138" customWidth="1"/>
    <col min="13840" max="13840" width="18.88671875" style="138" customWidth="1"/>
    <col min="13841" max="13841" width="15.44140625" style="138" customWidth="1"/>
    <col min="13842" max="13844" width="16.88671875" style="138" customWidth="1"/>
    <col min="13845" max="13845" width="11.44140625" style="138"/>
    <col min="13846" max="13846" width="18.88671875" style="138" customWidth="1"/>
    <col min="13847" max="13847" width="16.109375" style="138" customWidth="1"/>
    <col min="13848" max="14079" width="11.44140625" style="138"/>
    <col min="14080" max="14080" width="5.6640625" style="138" customWidth="1"/>
    <col min="14081" max="14081" width="31.33203125" style="138" customWidth="1"/>
    <col min="14082" max="14082" width="21.6640625" style="138" customWidth="1"/>
    <col min="14083" max="14084" width="0" style="138" hidden="1" customWidth="1"/>
    <col min="14085" max="14086" width="16" style="138" customWidth="1"/>
    <col min="14087" max="14087" width="0" style="138" hidden="1" customWidth="1"/>
    <col min="14088" max="14088" width="16.88671875" style="138" customWidth="1"/>
    <col min="14089" max="14089" width="17" style="138" customWidth="1"/>
    <col min="14090" max="14090" width="15" style="138" customWidth="1"/>
    <col min="14091" max="14091" width="12.88671875" style="138" customWidth="1"/>
    <col min="14092" max="14092" width="13.44140625" style="138" customWidth="1"/>
    <col min="14093" max="14093" width="19.33203125" style="138" customWidth="1"/>
    <col min="14094" max="14095" width="14.33203125" style="138" customWidth="1"/>
    <col min="14096" max="14096" width="18.88671875" style="138" customWidth="1"/>
    <col min="14097" max="14097" width="15.44140625" style="138" customWidth="1"/>
    <col min="14098" max="14100" width="16.88671875" style="138" customWidth="1"/>
    <col min="14101" max="14101" width="11.44140625" style="138"/>
    <col min="14102" max="14102" width="18.88671875" style="138" customWidth="1"/>
    <col min="14103" max="14103" width="16.109375" style="138" customWidth="1"/>
    <col min="14104" max="14335" width="11.44140625" style="138"/>
    <col min="14336" max="14336" width="5.6640625" style="138" customWidth="1"/>
    <col min="14337" max="14337" width="31.33203125" style="138" customWidth="1"/>
    <col min="14338" max="14338" width="21.6640625" style="138" customWidth="1"/>
    <col min="14339" max="14340" width="0" style="138" hidden="1" customWidth="1"/>
    <col min="14341" max="14342" width="16" style="138" customWidth="1"/>
    <col min="14343" max="14343" width="0" style="138" hidden="1" customWidth="1"/>
    <col min="14344" max="14344" width="16.88671875" style="138" customWidth="1"/>
    <col min="14345" max="14345" width="17" style="138" customWidth="1"/>
    <col min="14346" max="14346" width="15" style="138" customWidth="1"/>
    <col min="14347" max="14347" width="12.88671875" style="138" customWidth="1"/>
    <col min="14348" max="14348" width="13.44140625" style="138" customWidth="1"/>
    <col min="14349" max="14349" width="19.33203125" style="138" customWidth="1"/>
    <col min="14350" max="14351" width="14.33203125" style="138" customWidth="1"/>
    <col min="14352" max="14352" width="18.88671875" style="138" customWidth="1"/>
    <col min="14353" max="14353" width="15.44140625" style="138" customWidth="1"/>
    <col min="14354" max="14356" width="16.88671875" style="138" customWidth="1"/>
    <col min="14357" max="14357" width="11.44140625" style="138"/>
    <col min="14358" max="14358" width="18.88671875" style="138" customWidth="1"/>
    <col min="14359" max="14359" width="16.109375" style="138" customWidth="1"/>
    <col min="14360" max="14591" width="11.44140625" style="138"/>
    <col min="14592" max="14592" width="5.6640625" style="138" customWidth="1"/>
    <col min="14593" max="14593" width="31.33203125" style="138" customWidth="1"/>
    <col min="14594" max="14594" width="21.6640625" style="138" customWidth="1"/>
    <col min="14595" max="14596" width="0" style="138" hidden="1" customWidth="1"/>
    <col min="14597" max="14598" width="16" style="138" customWidth="1"/>
    <col min="14599" max="14599" width="0" style="138" hidden="1" customWidth="1"/>
    <col min="14600" max="14600" width="16.88671875" style="138" customWidth="1"/>
    <col min="14601" max="14601" width="17" style="138" customWidth="1"/>
    <col min="14602" max="14602" width="15" style="138" customWidth="1"/>
    <col min="14603" max="14603" width="12.88671875" style="138" customWidth="1"/>
    <col min="14604" max="14604" width="13.44140625" style="138" customWidth="1"/>
    <col min="14605" max="14605" width="19.33203125" style="138" customWidth="1"/>
    <col min="14606" max="14607" width="14.33203125" style="138" customWidth="1"/>
    <col min="14608" max="14608" width="18.88671875" style="138" customWidth="1"/>
    <col min="14609" max="14609" width="15.44140625" style="138" customWidth="1"/>
    <col min="14610" max="14612" width="16.88671875" style="138" customWidth="1"/>
    <col min="14613" max="14613" width="11.44140625" style="138"/>
    <col min="14614" max="14614" width="18.88671875" style="138" customWidth="1"/>
    <col min="14615" max="14615" width="16.109375" style="138" customWidth="1"/>
    <col min="14616" max="14847" width="11.44140625" style="138"/>
    <col min="14848" max="14848" width="5.6640625" style="138" customWidth="1"/>
    <col min="14849" max="14849" width="31.33203125" style="138" customWidth="1"/>
    <col min="14850" max="14850" width="21.6640625" style="138" customWidth="1"/>
    <col min="14851" max="14852" width="0" style="138" hidden="1" customWidth="1"/>
    <col min="14853" max="14854" width="16" style="138" customWidth="1"/>
    <col min="14855" max="14855" width="0" style="138" hidden="1" customWidth="1"/>
    <col min="14856" max="14856" width="16.88671875" style="138" customWidth="1"/>
    <col min="14857" max="14857" width="17" style="138" customWidth="1"/>
    <col min="14858" max="14858" width="15" style="138" customWidth="1"/>
    <col min="14859" max="14859" width="12.88671875" style="138" customWidth="1"/>
    <col min="14860" max="14860" width="13.44140625" style="138" customWidth="1"/>
    <col min="14861" max="14861" width="19.33203125" style="138" customWidth="1"/>
    <col min="14862" max="14863" width="14.33203125" style="138" customWidth="1"/>
    <col min="14864" max="14864" width="18.88671875" style="138" customWidth="1"/>
    <col min="14865" max="14865" width="15.44140625" style="138" customWidth="1"/>
    <col min="14866" max="14868" width="16.88671875" style="138" customWidth="1"/>
    <col min="14869" max="14869" width="11.44140625" style="138"/>
    <col min="14870" max="14870" width="18.88671875" style="138" customWidth="1"/>
    <col min="14871" max="14871" width="16.109375" style="138" customWidth="1"/>
    <col min="14872" max="15103" width="11.44140625" style="138"/>
    <col min="15104" max="15104" width="5.6640625" style="138" customWidth="1"/>
    <col min="15105" max="15105" width="31.33203125" style="138" customWidth="1"/>
    <col min="15106" max="15106" width="21.6640625" style="138" customWidth="1"/>
    <col min="15107" max="15108" width="0" style="138" hidden="1" customWidth="1"/>
    <col min="15109" max="15110" width="16" style="138" customWidth="1"/>
    <col min="15111" max="15111" width="0" style="138" hidden="1" customWidth="1"/>
    <col min="15112" max="15112" width="16.88671875" style="138" customWidth="1"/>
    <col min="15113" max="15113" width="17" style="138" customWidth="1"/>
    <col min="15114" max="15114" width="15" style="138" customWidth="1"/>
    <col min="15115" max="15115" width="12.88671875" style="138" customWidth="1"/>
    <col min="15116" max="15116" width="13.44140625" style="138" customWidth="1"/>
    <col min="15117" max="15117" width="19.33203125" style="138" customWidth="1"/>
    <col min="15118" max="15119" width="14.33203125" style="138" customWidth="1"/>
    <col min="15120" max="15120" width="18.88671875" style="138" customWidth="1"/>
    <col min="15121" max="15121" width="15.44140625" style="138" customWidth="1"/>
    <col min="15122" max="15124" width="16.88671875" style="138" customWidth="1"/>
    <col min="15125" max="15125" width="11.44140625" style="138"/>
    <col min="15126" max="15126" width="18.88671875" style="138" customWidth="1"/>
    <col min="15127" max="15127" width="16.109375" style="138" customWidth="1"/>
    <col min="15128" max="15359" width="11.44140625" style="138"/>
    <col min="15360" max="15360" width="5.6640625" style="138" customWidth="1"/>
    <col min="15361" max="15361" width="31.33203125" style="138" customWidth="1"/>
    <col min="15362" max="15362" width="21.6640625" style="138" customWidth="1"/>
    <col min="15363" max="15364" width="0" style="138" hidden="1" customWidth="1"/>
    <col min="15365" max="15366" width="16" style="138" customWidth="1"/>
    <col min="15367" max="15367" width="0" style="138" hidden="1" customWidth="1"/>
    <col min="15368" max="15368" width="16.88671875" style="138" customWidth="1"/>
    <col min="15369" max="15369" width="17" style="138" customWidth="1"/>
    <col min="15370" max="15370" width="15" style="138" customWidth="1"/>
    <col min="15371" max="15371" width="12.88671875" style="138" customWidth="1"/>
    <col min="15372" max="15372" width="13.44140625" style="138" customWidth="1"/>
    <col min="15373" max="15373" width="19.33203125" style="138" customWidth="1"/>
    <col min="15374" max="15375" width="14.33203125" style="138" customWidth="1"/>
    <col min="15376" max="15376" width="18.88671875" style="138" customWidth="1"/>
    <col min="15377" max="15377" width="15.44140625" style="138" customWidth="1"/>
    <col min="15378" max="15380" width="16.88671875" style="138" customWidth="1"/>
    <col min="15381" max="15381" width="11.44140625" style="138"/>
    <col min="15382" max="15382" width="18.88671875" style="138" customWidth="1"/>
    <col min="15383" max="15383" width="16.109375" style="138" customWidth="1"/>
    <col min="15384" max="15615" width="11.44140625" style="138"/>
    <col min="15616" max="15616" width="5.6640625" style="138" customWidth="1"/>
    <col min="15617" max="15617" width="31.33203125" style="138" customWidth="1"/>
    <col min="15618" max="15618" width="21.6640625" style="138" customWidth="1"/>
    <col min="15619" max="15620" width="0" style="138" hidden="1" customWidth="1"/>
    <col min="15621" max="15622" width="16" style="138" customWidth="1"/>
    <col min="15623" max="15623" width="0" style="138" hidden="1" customWidth="1"/>
    <col min="15624" max="15624" width="16.88671875" style="138" customWidth="1"/>
    <col min="15625" max="15625" width="17" style="138" customWidth="1"/>
    <col min="15626" max="15626" width="15" style="138" customWidth="1"/>
    <col min="15627" max="15627" width="12.88671875" style="138" customWidth="1"/>
    <col min="15628" max="15628" width="13.44140625" style="138" customWidth="1"/>
    <col min="15629" max="15629" width="19.33203125" style="138" customWidth="1"/>
    <col min="15630" max="15631" width="14.33203125" style="138" customWidth="1"/>
    <col min="15632" max="15632" width="18.88671875" style="138" customWidth="1"/>
    <col min="15633" max="15633" width="15.44140625" style="138" customWidth="1"/>
    <col min="15634" max="15636" width="16.88671875" style="138" customWidth="1"/>
    <col min="15637" max="15637" width="11.44140625" style="138"/>
    <col min="15638" max="15638" width="18.88671875" style="138" customWidth="1"/>
    <col min="15639" max="15639" width="16.109375" style="138" customWidth="1"/>
    <col min="15640" max="15871" width="11.44140625" style="138"/>
    <col min="15872" max="15872" width="5.6640625" style="138" customWidth="1"/>
    <col min="15873" max="15873" width="31.33203125" style="138" customWidth="1"/>
    <col min="15874" max="15874" width="21.6640625" style="138" customWidth="1"/>
    <col min="15875" max="15876" width="0" style="138" hidden="1" customWidth="1"/>
    <col min="15877" max="15878" width="16" style="138" customWidth="1"/>
    <col min="15879" max="15879" width="0" style="138" hidden="1" customWidth="1"/>
    <col min="15880" max="15880" width="16.88671875" style="138" customWidth="1"/>
    <col min="15881" max="15881" width="17" style="138" customWidth="1"/>
    <col min="15882" max="15882" width="15" style="138" customWidth="1"/>
    <col min="15883" max="15883" width="12.88671875" style="138" customWidth="1"/>
    <col min="15884" max="15884" width="13.44140625" style="138" customWidth="1"/>
    <col min="15885" max="15885" width="19.33203125" style="138" customWidth="1"/>
    <col min="15886" max="15887" width="14.33203125" style="138" customWidth="1"/>
    <col min="15888" max="15888" width="18.88671875" style="138" customWidth="1"/>
    <col min="15889" max="15889" width="15.44140625" style="138" customWidth="1"/>
    <col min="15890" max="15892" width="16.88671875" style="138" customWidth="1"/>
    <col min="15893" max="15893" width="11.44140625" style="138"/>
    <col min="15894" max="15894" width="18.88671875" style="138" customWidth="1"/>
    <col min="15895" max="15895" width="16.109375" style="138" customWidth="1"/>
    <col min="15896" max="16127" width="11.44140625" style="138"/>
    <col min="16128" max="16128" width="5.6640625" style="138" customWidth="1"/>
    <col min="16129" max="16129" width="31.33203125" style="138" customWidth="1"/>
    <col min="16130" max="16130" width="21.6640625" style="138" customWidth="1"/>
    <col min="16131" max="16132" width="0" style="138" hidden="1" customWidth="1"/>
    <col min="16133" max="16134" width="16" style="138" customWidth="1"/>
    <col min="16135" max="16135" width="0" style="138" hidden="1" customWidth="1"/>
    <col min="16136" max="16136" width="16.88671875" style="138" customWidth="1"/>
    <col min="16137" max="16137" width="17" style="138" customWidth="1"/>
    <col min="16138" max="16138" width="15" style="138" customWidth="1"/>
    <col min="16139" max="16139" width="12.88671875" style="138" customWidth="1"/>
    <col min="16140" max="16140" width="13.44140625" style="138" customWidth="1"/>
    <col min="16141" max="16141" width="19.33203125" style="138" customWidth="1"/>
    <col min="16142" max="16143" width="14.33203125" style="138" customWidth="1"/>
    <col min="16144" max="16144" width="18.88671875" style="138" customWidth="1"/>
    <col min="16145" max="16145" width="15.44140625" style="138" customWidth="1"/>
    <col min="16146" max="16148" width="16.88671875" style="138" customWidth="1"/>
    <col min="16149" max="16149" width="11.44140625" style="138"/>
    <col min="16150" max="16150" width="18.88671875" style="138" customWidth="1"/>
    <col min="16151" max="16151" width="16.109375" style="138" customWidth="1"/>
    <col min="16152" max="16384" width="11.44140625" style="138"/>
  </cols>
  <sheetData>
    <row r="1" spans="1:21" x14ac:dyDescent="0.25">
      <c r="A1" s="428" t="s">
        <v>30</v>
      </c>
      <c r="B1" s="428"/>
      <c r="C1" s="428"/>
      <c r="D1" s="428"/>
      <c r="E1" s="428"/>
      <c r="F1" s="428"/>
      <c r="G1" s="428"/>
      <c r="H1" s="428"/>
      <c r="I1" s="428"/>
      <c r="J1" s="428"/>
      <c r="K1" s="428"/>
      <c r="L1" s="428"/>
      <c r="M1" s="428"/>
      <c r="N1" s="428"/>
      <c r="O1" s="428"/>
      <c r="P1" s="428"/>
      <c r="Q1" s="428"/>
      <c r="R1" s="428"/>
      <c r="S1" s="428"/>
    </row>
    <row r="2" spans="1:21" x14ac:dyDescent="0.25">
      <c r="A2" s="428" t="s">
        <v>31</v>
      </c>
      <c r="B2" s="428"/>
      <c r="C2" s="428"/>
      <c r="D2" s="428"/>
      <c r="E2" s="428"/>
      <c r="F2" s="428"/>
      <c r="G2" s="428"/>
      <c r="H2" s="428"/>
      <c r="I2" s="428"/>
      <c r="J2" s="428"/>
      <c r="K2" s="428"/>
      <c r="L2" s="428"/>
      <c r="M2" s="428"/>
      <c r="N2" s="428"/>
      <c r="O2" s="428"/>
      <c r="P2" s="428"/>
      <c r="Q2" s="428"/>
      <c r="R2" s="428"/>
      <c r="S2" s="428"/>
    </row>
    <row r="3" spans="1:21" x14ac:dyDescent="0.25">
      <c r="A3" s="429" t="s">
        <v>34</v>
      </c>
      <c r="B3" s="429"/>
    </row>
    <row r="4" spans="1:21" x14ac:dyDescent="0.25">
      <c r="A4" s="429" t="s">
        <v>26</v>
      </c>
      <c r="B4" s="429"/>
      <c r="Q4" s="430" t="s">
        <v>145</v>
      </c>
      <c r="R4" s="430"/>
      <c r="S4" s="430"/>
    </row>
    <row r="5" spans="1:21" ht="25.2" x14ac:dyDescent="0.25">
      <c r="A5" s="426"/>
      <c r="B5" s="426"/>
      <c r="C5" s="426"/>
      <c r="D5" s="426"/>
      <c r="E5" s="426"/>
      <c r="F5" s="144"/>
      <c r="G5" s="144"/>
      <c r="H5" s="144"/>
      <c r="I5" s="143"/>
      <c r="J5" s="143"/>
      <c r="K5" s="139"/>
      <c r="Q5" s="427" t="s">
        <v>146</v>
      </c>
      <c r="R5" s="427"/>
      <c r="S5" s="427"/>
    </row>
    <row r="6" spans="1:21" x14ac:dyDescent="0.25">
      <c r="A6" s="434" t="s">
        <v>147</v>
      </c>
      <c r="B6" s="434"/>
      <c r="C6" s="434"/>
      <c r="D6" s="434"/>
      <c r="E6" s="434"/>
      <c r="F6" s="434"/>
      <c r="G6" s="434"/>
      <c r="H6" s="434"/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</row>
    <row r="7" spans="1:21" ht="25.5" customHeight="1" x14ac:dyDescent="0.25">
      <c r="A7" s="428" t="str">
        <f>[1]for!A9</f>
        <v>ປະຈຳເດືອນ ສິງຫາ (08) 2026</v>
      </c>
      <c r="B7" s="428"/>
      <c r="C7" s="428"/>
      <c r="D7" s="428"/>
      <c r="E7" s="428"/>
      <c r="F7" s="428"/>
      <c r="G7" s="428"/>
      <c r="H7" s="428"/>
      <c r="I7" s="428"/>
      <c r="J7" s="428"/>
      <c r="K7" s="428"/>
      <c r="L7" s="428"/>
      <c r="M7" s="428"/>
      <c r="N7" s="428"/>
      <c r="O7" s="428"/>
      <c r="P7" s="428"/>
      <c r="Q7" s="428"/>
      <c r="R7" s="428"/>
      <c r="S7" s="428"/>
    </row>
    <row r="8" spans="1:21" hidden="1" x14ac:dyDescent="0.25">
      <c r="A8" s="145"/>
    </row>
    <row r="9" spans="1:21" x14ac:dyDescent="0.25">
      <c r="A9" s="435" t="s">
        <v>3</v>
      </c>
      <c r="B9" s="435" t="s">
        <v>4</v>
      </c>
      <c r="C9" s="431" t="s">
        <v>37</v>
      </c>
      <c r="D9" s="431" t="s">
        <v>148</v>
      </c>
      <c r="E9" s="435" t="s">
        <v>149</v>
      </c>
      <c r="F9" s="438" t="s">
        <v>150</v>
      </c>
      <c r="G9" s="441" t="s">
        <v>56</v>
      </c>
      <c r="H9" s="441" t="s">
        <v>121</v>
      </c>
      <c r="I9" s="431" t="s">
        <v>151</v>
      </c>
      <c r="J9" s="431" t="s">
        <v>152</v>
      </c>
      <c r="K9" s="431" t="s">
        <v>153</v>
      </c>
      <c r="L9" s="438" t="s">
        <v>154</v>
      </c>
      <c r="M9" s="431" t="s">
        <v>155</v>
      </c>
      <c r="N9" s="431" t="s">
        <v>156</v>
      </c>
      <c r="O9" s="438" t="s">
        <v>53</v>
      </c>
      <c r="P9" s="444" t="s">
        <v>157</v>
      </c>
      <c r="Q9" s="447" t="s">
        <v>158</v>
      </c>
      <c r="R9" s="444" t="s">
        <v>159</v>
      </c>
      <c r="S9" s="450" t="s">
        <v>160</v>
      </c>
    </row>
    <row r="10" spans="1:21" s="145" customFormat="1" x14ac:dyDescent="0.25">
      <c r="A10" s="436"/>
      <c r="B10" s="436"/>
      <c r="C10" s="432"/>
      <c r="D10" s="432"/>
      <c r="E10" s="436"/>
      <c r="F10" s="439"/>
      <c r="G10" s="442"/>
      <c r="H10" s="442"/>
      <c r="I10" s="432"/>
      <c r="J10" s="432"/>
      <c r="K10" s="432"/>
      <c r="L10" s="439"/>
      <c r="M10" s="432"/>
      <c r="N10" s="432"/>
      <c r="O10" s="439"/>
      <c r="P10" s="445"/>
      <c r="Q10" s="448"/>
      <c r="R10" s="445"/>
      <c r="S10" s="450"/>
    </row>
    <row r="11" spans="1:21" s="145" customFormat="1" ht="39" customHeight="1" x14ac:dyDescent="0.25">
      <c r="A11" s="437"/>
      <c r="B11" s="437"/>
      <c r="C11" s="433"/>
      <c r="D11" s="433"/>
      <c r="E11" s="437"/>
      <c r="F11" s="440"/>
      <c r="G11" s="443"/>
      <c r="H11" s="443"/>
      <c r="I11" s="433"/>
      <c r="J11" s="433"/>
      <c r="K11" s="433"/>
      <c r="L11" s="440"/>
      <c r="M11" s="433"/>
      <c r="N11" s="433"/>
      <c r="O11" s="440"/>
      <c r="P11" s="446"/>
      <c r="Q11" s="449"/>
      <c r="R11" s="446"/>
      <c r="S11" s="450"/>
    </row>
    <row r="12" spans="1:21" s="145" customFormat="1" ht="29.25" customHeight="1" x14ac:dyDescent="0.25">
      <c r="A12" s="147">
        <v>1</v>
      </c>
      <c r="B12" s="148" t="s">
        <v>161</v>
      </c>
      <c r="C12" s="149"/>
      <c r="D12" s="149"/>
      <c r="E12" s="150">
        <f>+[1]BKK!H15</f>
        <v>36129316.979999997</v>
      </c>
      <c r="F12" s="151">
        <f>[1]BKK!J15</f>
        <v>0</v>
      </c>
      <c r="G12" s="152"/>
      <c r="H12" s="152">
        <f>+[1]BKK!K15</f>
        <v>0</v>
      </c>
      <c r="I12" s="151"/>
      <c r="J12" s="151">
        <f>+[1]BKK!M15</f>
        <v>36129316.979999997</v>
      </c>
      <c r="K12" s="151">
        <f>+[1]BKK!N15</f>
        <v>742500</v>
      </c>
      <c r="L12" s="151">
        <f>+[1]BKK!O15</f>
        <v>0</v>
      </c>
      <c r="M12" s="151">
        <f>+[1]BKK!P15</f>
        <v>35386816.979999997</v>
      </c>
      <c r="N12" s="151">
        <f>+[1]BKK!Q15</f>
        <v>60000</v>
      </c>
      <c r="O12" s="151">
        <f>+[1]BKK!R15</f>
        <v>0</v>
      </c>
      <c r="P12" s="151">
        <f>ROUND(+[1]BKK!S15,2)</f>
        <v>35326816.979999997</v>
      </c>
      <c r="Q12" s="151">
        <v>677.14</v>
      </c>
      <c r="R12" s="151">
        <f>+[1]BKK!U15</f>
        <v>52170.63</v>
      </c>
      <c r="S12" s="153" t="s">
        <v>162</v>
      </c>
      <c r="T12" s="229">
        <v>32134.179135796501</v>
      </c>
      <c r="U12" s="229">
        <f>R12-T12</f>
        <v>20036.450864203496</v>
      </c>
    </row>
    <row r="13" spans="1:21" s="145" customFormat="1" ht="30.75" customHeight="1" x14ac:dyDescent="0.25">
      <c r="A13" s="147">
        <v>2</v>
      </c>
      <c r="B13" s="154" t="s">
        <v>163</v>
      </c>
      <c r="C13" s="155"/>
      <c r="D13" s="156"/>
      <c r="E13" s="157">
        <f>+[1]HAN!H19</f>
        <v>107112959.18000001</v>
      </c>
      <c r="F13" s="157">
        <f>[1]HAN!J19</f>
        <v>0</v>
      </c>
      <c r="G13" s="157"/>
      <c r="H13" s="157">
        <f>+[1]HAN!K19</f>
        <v>0</v>
      </c>
      <c r="I13" s="157"/>
      <c r="J13" s="157">
        <f>+[1]HAN!M19</f>
        <v>107112959.18000001</v>
      </c>
      <c r="K13" s="157">
        <f>+[1]HAN!N19</f>
        <v>495000</v>
      </c>
      <c r="L13" s="157">
        <f>+[1]HAN!O19</f>
        <v>0</v>
      </c>
      <c r="M13" s="158">
        <f>+[1]HAN!P19</f>
        <v>106617959.18000001</v>
      </c>
      <c r="N13" s="157">
        <f>+[1]HAN!Q19</f>
        <v>140000</v>
      </c>
      <c r="O13" s="157">
        <f>+[1]HAN!R19</f>
        <v>0</v>
      </c>
      <c r="P13" s="157">
        <f>ROUND(+[1]HAN!S19,2)</f>
        <v>106477959.18000001</v>
      </c>
      <c r="Q13" s="157">
        <f>[1]for!H27</f>
        <v>22324</v>
      </c>
      <c r="R13" s="157">
        <f>+[1]HAN!U19</f>
        <v>4769.6500000000005</v>
      </c>
      <c r="S13" s="146" t="s">
        <v>164</v>
      </c>
      <c r="T13" s="229">
        <v>3815.941959506632</v>
      </c>
      <c r="U13" s="229">
        <f t="shared" ref="U13:U17" si="0">R13-T13</f>
        <v>953.70804049336857</v>
      </c>
    </row>
    <row r="14" spans="1:21" s="145" customFormat="1" ht="30.75" customHeight="1" x14ac:dyDescent="0.25">
      <c r="A14" s="147">
        <v>3</v>
      </c>
      <c r="B14" s="230" t="s">
        <v>198</v>
      </c>
      <c r="C14" s="231"/>
      <c r="D14" s="232"/>
      <c r="E14" s="157">
        <f>+[1]SGN!F13</f>
        <v>17611312.000115562</v>
      </c>
      <c r="F14" s="157">
        <f>[1]SGN!H13</f>
        <v>0</v>
      </c>
      <c r="G14" s="157"/>
      <c r="H14" s="157">
        <f>+[1]SGN!I13</f>
        <v>0</v>
      </c>
      <c r="I14" s="157"/>
      <c r="J14" s="157">
        <f>+[1]SGN!J13</f>
        <v>17611312.000115562</v>
      </c>
      <c r="K14" s="157">
        <f>+[1]SGN!K13</f>
        <v>0</v>
      </c>
      <c r="L14" s="157">
        <f>+[1]SGN!L13</f>
        <v>0</v>
      </c>
      <c r="M14" s="158">
        <f>+[1]SGN!M13</f>
        <v>17611312.000115562</v>
      </c>
      <c r="N14" s="157">
        <f>+[1]SGN!N13</f>
        <v>20000</v>
      </c>
      <c r="O14" s="157">
        <f>+[1]SGN!O13</f>
        <v>0</v>
      </c>
      <c r="P14" s="157">
        <f>ROUND(+[1]SGN!P13,2)</f>
        <v>17591312</v>
      </c>
      <c r="Q14" s="157">
        <f>[1]for!H27</f>
        <v>22324</v>
      </c>
      <c r="R14" s="157">
        <f>+[1]SGN!R13</f>
        <v>788.00000000517662</v>
      </c>
      <c r="S14" s="146" t="s">
        <v>164</v>
      </c>
      <c r="T14" s="229">
        <v>749.06911798929491</v>
      </c>
      <c r="U14" s="229">
        <f t="shared" si="0"/>
        <v>38.930882015881707</v>
      </c>
    </row>
    <row r="15" spans="1:21" s="145" customFormat="1" ht="30.75" customHeight="1" x14ac:dyDescent="0.25">
      <c r="A15" s="147">
        <v>4</v>
      </c>
      <c r="B15" s="230" t="s">
        <v>165</v>
      </c>
      <c r="C15" s="231"/>
      <c r="D15" s="232"/>
      <c r="E15" s="157">
        <f>+[1]ICN!H14</f>
        <v>68706232.24000001</v>
      </c>
      <c r="F15" s="157">
        <f>[1]ICN!J14</f>
        <v>0</v>
      </c>
      <c r="G15" s="157"/>
      <c r="H15" s="157">
        <f>+[1]ICN!K14</f>
        <v>0</v>
      </c>
      <c r="I15" s="157"/>
      <c r="J15" s="157">
        <f>+[1]ICN!M14</f>
        <v>68706232.24000001</v>
      </c>
      <c r="K15" s="157">
        <f>+[1]ICN!N14</f>
        <v>495000</v>
      </c>
      <c r="L15" s="157">
        <f>+[1]ICN!O14</f>
        <v>0</v>
      </c>
      <c r="M15" s="158">
        <f>+[1]ICN!P14</f>
        <v>68211232.24000001</v>
      </c>
      <c r="N15" s="157">
        <f>+[1]ICN!Q14</f>
        <v>40000</v>
      </c>
      <c r="O15" s="157">
        <f>+[1]ICN!R14</f>
        <v>0</v>
      </c>
      <c r="P15" s="157">
        <f>ROUND(+[1]ICN!S14,2)</f>
        <v>68171232.239999995</v>
      </c>
      <c r="Q15" s="157">
        <f>[1]for!H27</f>
        <v>22324</v>
      </c>
      <c r="R15" s="157">
        <f>+[1]ICN!U14</f>
        <v>3053.7194158752914</v>
      </c>
      <c r="S15" s="146" t="s">
        <v>164</v>
      </c>
      <c r="T15" s="229">
        <v>1554.8808005585299</v>
      </c>
      <c r="U15" s="229">
        <f t="shared" si="0"/>
        <v>1498.8386153167614</v>
      </c>
    </row>
    <row r="16" spans="1:21" s="145" customFormat="1" ht="30.75" customHeight="1" x14ac:dyDescent="0.25">
      <c r="A16" s="147">
        <v>5</v>
      </c>
      <c r="B16" s="233" t="s">
        <v>199</v>
      </c>
      <c r="C16" s="155"/>
      <c r="D16" s="156"/>
      <c r="E16" s="157">
        <f>+[1]KMG!H15</f>
        <v>43963644.170000002</v>
      </c>
      <c r="F16" s="157">
        <f>[1]KMG!J15</f>
        <v>0</v>
      </c>
      <c r="G16" s="157"/>
      <c r="H16" s="157">
        <f>+[1]KMG!K15</f>
        <v>0</v>
      </c>
      <c r="I16" s="157"/>
      <c r="J16" s="157">
        <f>+[1]KMG!M15</f>
        <v>43963644.170000002</v>
      </c>
      <c r="K16" s="157">
        <f>+[1]KMG!N15</f>
        <v>247500</v>
      </c>
      <c r="L16" s="157">
        <f>+[1]KMG!O15</f>
        <v>975334.41700000002</v>
      </c>
      <c r="M16" s="158">
        <f>+[1]KMG!P15</f>
        <v>42740809.75</v>
      </c>
      <c r="N16" s="157">
        <f>+[1]KMG!Q15</f>
        <v>60000</v>
      </c>
      <c r="O16" s="157">
        <f>+[1]KMG!R15</f>
        <v>0</v>
      </c>
      <c r="P16" s="157">
        <f>ROUND(+[1]KMG!S15,2)</f>
        <v>42680809.75</v>
      </c>
      <c r="Q16" s="157">
        <f>[1]for!H35</f>
        <v>3284</v>
      </c>
      <c r="R16" s="157">
        <f>+[1]KMG!U15</f>
        <v>12996.59</v>
      </c>
      <c r="S16" s="146" t="s">
        <v>166</v>
      </c>
      <c r="T16" s="229">
        <v>12853.670813064629</v>
      </c>
      <c r="U16" s="229">
        <f t="shared" si="0"/>
        <v>142.91918693537082</v>
      </c>
    </row>
    <row r="17" spans="1:21" s="145" customFormat="1" ht="30.75" customHeight="1" x14ac:dyDescent="0.25">
      <c r="A17" s="147">
        <v>6</v>
      </c>
      <c r="B17" s="148" t="s">
        <v>200</v>
      </c>
      <c r="C17" s="231"/>
      <c r="D17" s="232"/>
      <c r="E17" s="157">
        <f>+[1]CAN!H15</f>
        <v>42165824.43</v>
      </c>
      <c r="F17" s="157">
        <f>[1]CAN!J15</f>
        <v>0</v>
      </c>
      <c r="G17" s="157"/>
      <c r="H17" s="157">
        <f>+[1]CAN!L15</f>
        <v>0</v>
      </c>
      <c r="I17" s="157">
        <f>+[1]CAN!M15</f>
        <v>0</v>
      </c>
      <c r="J17" s="157">
        <f>+[1]CAN!N15</f>
        <v>42165824.43</v>
      </c>
      <c r="K17" s="157">
        <f>+[1]CAN!O15</f>
        <v>495000</v>
      </c>
      <c r="L17" s="157">
        <f>[1]CAN!P12</f>
        <v>0</v>
      </c>
      <c r="M17" s="158">
        <f>+[1]CAN!Q15</f>
        <v>41670824.43</v>
      </c>
      <c r="N17" s="157">
        <f>+[1]CAN!R15</f>
        <v>60000</v>
      </c>
      <c r="O17" s="157">
        <f>+[1]CAN!S15</f>
        <v>0</v>
      </c>
      <c r="P17" s="157">
        <f>ROUND(+[1]CAN!T15,2)</f>
        <v>41610824.43</v>
      </c>
      <c r="Q17" s="157">
        <f>[1]for!H35</f>
        <v>3284</v>
      </c>
      <c r="R17" s="157">
        <f>+[1]CAN!V15</f>
        <v>12670.779999999999</v>
      </c>
      <c r="S17" s="146" t="s">
        <v>166</v>
      </c>
      <c r="T17" s="229">
        <v>8707.1209173036823</v>
      </c>
      <c r="U17" s="229">
        <f t="shared" si="0"/>
        <v>3963.6590826963165</v>
      </c>
    </row>
    <row r="18" spans="1:21" ht="30" customHeight="1" x14ac:dyDescent="0.25">
      <c r="A18" s="234"/>
      <c r="B18" s="235" t="s">
        <v>19</v>
      </c>
      <c r="C18" s="236"/>
      <c r="D18" s="236"/>
      <c r="E18" s="237">
        <f t="shared" ref="E18:L18" si="1">SUM(E12:E17)</f>
        <v>315689289.00011557</v>
      </c>
      <c r="F18" s="237">
        <f t="shared" si="1"/>
        <v>0</v>
      </c>
      <c r="G18" s="237">
        <f t="shared" si="1"/>
        <v>0</v>
      </c>
      <c r="H18" s="237">
        <f t="shared" si="1"/>
        <v>0</v>
      </c>
      <c r="I18" s="237">
        <f t="shared" si="1"/>
        <v>0</v>
      </c>
      <c r="J18" s="237">
        <f t="shared" si="1"/>
        <v>315689289.00011557</v>
      </c>
      <c r="K18" s="237">
        <f t="shared" si="1"/>
        <v>2475000</v>
      </c>
      <c r="L18" s="237">
        <f t="shared" si="1"/>
        <v>975334.41700000002</v>
      </c>
      <c r="M18" s="238" cm="1">
        <f t="array" ref="M18">SUM(ROUND(M12:M17,2))</f>
        <v>312238954.57999998</v>
      </c>
      <c r="N18" s="237">
        <f t="shared" ref="N18:P18" si="2">SUM(N12:N17)</f>
        <v>380000</v>
      </c>
      <c r="O18" s="237">
        <f t="shared" si="2"/>
        <v>0</v>
      </c>
      <c r="P18" s="237">
        <f t="shared" si="2"/>
        <v>311858954.57999998</v>
      </c>
      <c r="Q18" s="237"/>
      <c r="R18" s="237"/>
      <c r="S18" s="239">
        <f>SUM(S13:S17)</f>
        <v>0</v>
      </c>
      <c r="U18" s="229">
        <f t="shared" ref="U18" si="3">+R18+T18</f>
        <v>0</v>
      </c>
    </row>
    <row r="19" spans="1:21" ht="24.9" customHeight="1" x14ac:dyDescent="0.25">
      <c r="Q19" s="240"/>
      <c r="R19" s="240"/>
      <c r="S19" s="241"/>
    </row>
    <row r="20" spans="1:21" x14ac:dyDescent="0.25">
      <c r="E20" s="160"/>
      <c r="F20" s="159"/>
      <c r="G20" s="159"/>
      <c r="H20" s="159"/>
      <c r="I20" s="160"/>
      <c r="J20" s="160"/>
      <c r="K20" s="160"/>
      <c r="L20" s="159"/>
      <c r="M20" s="162"/>
      <c r="N20" s="160"/>
      <c r="O20" s="159"/>
      <c r="S20" s="161"/>
      <c r="U20" s="160"/>
    </row>
    <row r="21" spans="1:21" x14ac:dyDescent="0.25"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</row>
    <row r="23" spans="1:21" x14ac:dyDescent="0.25">
      <c r="M23" s="162"/>
    </row>
    <row r="24" spans="1:21" x14ac:dyDescent="0.25">
      <c r="M24" s="162"/>
    </row>
    <row r="25" spans="1:21" x14ac:dyDescent="0.25">
      <c r="M25" s="162"/>
    </row>
    <row r="26" spans="1:21" x14ac:dyDescent="0.25">
      <c r="M26" s="162"/>
    </row>
    <row r="27" spans="1:21" x14ac:dyDescent="0.25">
      <c r="M27" s="162"/>
    </row>
    <row r="28" spans="1:21" x14ac:dyDescent="0.25">
      <c r="M28" s="162"/>
    </row>
    <row r="29" spans="1:21" x14ac:dyDescent="0.25">
      <c r="M29" s="162"/>
    </row>
  </sheetData>
  <mergeCells count="28">
    <mergeCell ref="O9:O11"/>
    <mergeCell ref="P9:P11"/>
    <mergeCell ref="Q9:Q11"/>
    <mergeCell ref="R9:R11"/>
    <mergeCell ref="S9:S11"/>
    <mergeCell ref="N9:N11"/>
    <mergeCell ref="A6:S6"/>
    <mergeCell ref="A7:S7"/>
    <mergeCell ref="A9:A11"/>
    <mergeCell ref="B9:B11"/>
    <mergeCell ref="C9:C11"/>
    <mergeCell ref="D9:D11"/>
    <mergeCell ref="E9:E11"/>
    <mergeCell ref="F9:F11"/>
    <mergeCell ref="G9:G11"/>
    <mergeCell ref="H9:H11"/>
    <mergeCell ref="I9:I11"/>
    <mergeCell ref="J9:J11"/>
    <mergeCell ref="K9:K11"/>
    <mergeCell ref="L9:L11"/>
    <mergeCell ref="M9:M11"/>
    <mergeCell ref="A5:E5"/>
    <mergeCell ref="Q5:S5"/>
    <mergeCell ref="A1:S1"/>
    <mergeCell ref="A2:S2"/>
    <mergeCell ref="A3:B3"/>
    <mergeCell ref="A4:B4"/>
    <mergeCell ref="Q4:S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500C-3C56-4834-A255-0F0FB9B3157D}">
  <sheetPr>
    <tabColor rgb="FF00B050"/>
  </sheetPr>
  <dimension ref="A1:F18"/>
  <sheetViews>
    <sheetView topLeftCell="A3" workbookViewId="0">
      <selection activeCell="E27" sqref="E27"/>
    </sheetView>
  </sheetViews>
  <sheetFormatPr defaultColWidth="11.44140625" defaultRowHeight="19.8" x14ac:dyDescent="0.25"/>
  <cols>
    <col min="1" max="1" width="9.109375" style="41" customWidth="1"/>
    <col min="2" max="2" width="35.33203125" style="41" customWidth="1"/>
    <col min="3" max="3" width="31.6640625" style="82" customWidth="1"/>
    <col min="4" max="4" width="17" style="212" customWidth="1"/>
    <col min="5" max="5" width="24.88671875" style="86" customWidth="1"/>
    <col min="6" max="6" width="26.5546875" style="41" customWidth="1"/>
    <col min="7" max="248" width="11.44140625" style="41"/>
    <col min="249" max="249" width="5.6640625" style="41" customWidth="1"/>
    <col min="250" max="250" width="30.5546875" style="41" customWidth="1"/>
    <col min="251" max="251" width="22.33203125" style="41" customWidth="1"/>
    <col min="252" max="252" width="18.44140625" style="41" customWidth="1"/>
    <col min="253" max="253" width="17.88671875" style="41" customWidth="1"/>
    <col min="254" max="254" width="18.44140625" style="41" customWidth="1"/>
    <col min="255" max="255" width="21.44140625" style="41" customWidth="1"/>
    <col min="256" max="258" width="16.88671875" style="41" customWidth="1"/>
    <col min="259" max="259" width="11.44140625" style="41"/>
    <col min="260" max="260" width="18.88671875" style="41" customWidth="1"/>
    <col min="261" max="261" width="16.109375" style="41" customWidth="1"/>
    <col min="262" max="504" width="11.44140625" style="41"/>
    <col min="505" max="505" width="5.6640625" style="41" customWidth="1"/>
    <col min="506" max="506" width="30.5546875" style="41" customWidth="1"/>
    <col min="507" max="507" width="22.33203125" style="41" customWidth="1"/>
    <col min="508" max="508" width="18.44140625" style="41" customWidth="1"/>
    <col min="509" max="509" width="17.88671875" style="41" customWidth="1"/>
    <col min="510" max="510" width="18.44140625" style="41" customWidth="1"/>
    <col min="511" max="511" width="21.44140625" style="41" customWidth="1"/>
    <col min="512" max="514" width="16.88671875" style="41" customWidth="1"/>
    <col min="515" max="515" width="11.44140625" style="41"/>
    <col min="516" max="516" width="18.88671875" style="41" customWidth="1"/>
    <col min="517" max="517" width="16.109375" style="41" customWidth="1"/>
    <col min="518" max="760" width="11.44140625" style="41"/>
    <col min="761" max="761" width="5.6640625" style="41" customWidth="1"/>
    <col min="762" max="762" width="30.5546875" style="41" customWidth="1"/>
    <col min="763" max="763" width="22.33203125" style="41" customWidth="1"/>
    <col min="764" max="764" width="18.44140625" style="41" customWidth="1"/>
    <col min="765" max="765" width="17.88671875" style="41" customWidth="1"/>
    <col min="766" max="766" width="18.44140625" style="41" customWidth="1"/>
    <col min="767" max="767" width="21.44140625" style="41" customWidth="1"/>
    <col min="768" max="770" width="16.88671875" style="41" customWidth="1"/>
    <col min="771" max="771" width="11.44140625" style="41"/>
    <col min="772" max="772" width="18.88671875" style="41" customWidth="1"/>
    <col min="773" max="773" width="16.109375" style="41" customWidth="1"/>
    <col min="774" max="1016" width="11.44140625" style="41"/>
    <col min="1017" max="1017" width="5.6640625" style="41" customWidth="1"/>
    <col min="1018" max="1018" width="30.5546875" style="41" customWidth="1"/>
    <col min="1019" max="1019" width="22.33203125" style="41" customWidth="1"/>
    <col min="1020" max="1020" width="18.44140625" style="41" customWidth="1"/>
    <col min="1021" max="1021" width="17.88671875" style="41" customWidth="1"/>
    <col min="1022" max="1022" width="18.44140625" style="41" customWidth="1"/>
    <col min="1023" max="1023" width="21.44140625" style="41" customWidth="1"/>
    <col min="1024" max="1026" width="16.88671875" style="41" customWidth="1"/>
    <col min="1027" max="1027" width="11.44140625" style="41"/>
    <col min="1028" max="1028" width="18.88671875" style="41" customWidth="1"/>
    <col min="1029" max="1029" width="16.109375" style="41" customWidth="1"/>
    <col min="1030" max="1272" width="11.44140625" style="41"/>
    <col min="1273" max="1273" width="5.6640625" style="41" customWidth="1"/>
    <col min="1274" max="1274" width="30.5546875" style="41" customWidth="1"/>
    <col min="1275" max="1275" width="22.33203125" style="41" customWidth="1"/>
    <col min="1276" max="1276" width="18.44140625" style="41" customWidth="1"/>
    <col min="1277" max="1277" width="17.88671875" style="41" customWidth="1"/>
    <col min="1278" max="1278" width="18.44140625" style="41" customWidth="1"/>
    <col min="1279" max="1279" width="21.44140625" style="41" customWidth="1"/>
    <col min="1280" max="1282" width="16.88671875" style="41" customWidth="1"/>
    <col min="1283" max="1283" width="11.44140625" style="41"/>
    <col min="1284" max="1284" width="18.88671875" style="41" customWidth="1"/>
    <col min="1285" max="1285" width="16.109375" style="41" customWidth="1"/>
    <col min="1286" max="1528" width="11.44140625" style="41"/>
    <col min="1529" max="1529" width="5.6640625" style="41" customWidth="1"/>
    <col min="1530" max="1530" width="30.5546875" style="41" customWidth="1"/>
    <col min="1531" max="1531" width="22.33203125" style="41" customWidth="1"/>
    <col min="1532" max="1532" width="18.44140625" style="41" customWidth="1"/>
    <col min="1533" max="1533" width="17.88671875" style="41" customWidth="1"/>
    <col min="1534" max="1534" width="18.44140625" style="41" customWidth="1"/>
    <col min="1535" max="1535" width="21.44140625" style="41" customWidth="1"/>
    <col min="1536" max="1538" width="16.88671875" style="41" customWidth="1"/>
    <col min="1539" max="1539" width="11.44140625" style="41"/>
    <col min="1540" max="1540" width="18.88671875" style="41" customWidth="1"/>
    <col min="1541" max="1541" width="16.109375" style="41" customWidth="1"/>
    <col min="1542" max="1784" width="11.44140625" style="41"/>
    <col min="1785" max="1785" width="5.6640625" style="41" customWidth="1"/>
    <col min="1786" max="1786" width="30.5546875" style="41" customWidth="1"/>
    <col min="1787" max="1787" width="22.33203125" style="41" customWidth="1"/>
    <col min="1788" max="1788" width="18.44140625" style="41" customWidth="1"/>
    <col min="1789" max="1789" width="17.88671875" style="41" customWidth="1"/>
    <col min="1790" max="1790" width="18.44140625" style="41" customWidth="1"/>
    <col min="1791" max="1791" width="21.44140625" style="41" customWidth="1"/>
    <col min="1792" max="1794" width="16.88671875" style="41" customWidth="1"/>
    <col min="1795" max="1795" width="11.44140625" style="41"/>
    <col min="1796" max="1796" width="18.88671875" style="41" customWidth="1"/>
    <col min="1797" max="1797" width="16.109375" style="41" customWidth="1"/>
    <col min="1798" max="2040" width="11.44140625" style="41"/>
    <col min="2041" max="2041" width="5.6640625" style="41" customWidth="1"/>
    <col min="2042" max="2042" width="30.5546875" style="41" customWidth="1"/>
    <col min="2043" max="2043" width="22.33203125" style="41" customWidth="1"/>
    <col min="2044" max="2044" width="18.44140625" style="41" customWidth="1"/>
    <col min="2045" max="2045" width="17.88671875" style="41" customWidth="1"/>
    <col min="2046" max="2046" width="18.44140625" style="41" customWidth="1"/>
    <col min="2047" max="2047" width="21.44140625" style="41" customWidth="1"/>
    <col min="2048" max="2050" width="16.88671875" style="41" customWidth="1"/>
    <col min="2051" max="2051" width="11.44140625" style="41"/>
    <col min="2052" max="2052" width="18.88671875" style="41" customWidth="1"/>
    <col min="2053" max="2053" width="16.109375" style="41" customWidth="1"/>
    <col min="2054" max="2296" width="11.44140625" style="41"/>
    <col min="2297" max="2297" width="5.6640625" style="41" customWidth="1"/>
    <col min="2298" max="2298" width="30.5546875" style="41" customWidth="1"/>
    <col min="2299" max="2299" width="22.33203125" style="41" customWidth="1"/>
    <col min="2300" max="2300" width="18.44140625" style="41" customWidth="1"/>
    <col min="2301" max="2301" width="17.88671875" style="41" customWidth="1"/>
    <col min="2302" max="2302" width="18.44140625" style="41" customWidth="1"/>
    <col min="2303" max="2303" width="21.44140625" style="41" customWidth="1"/>
    <col min="2304" max="2306" width="16.88671875" style="41" customWidth="1"/>
    <col min="2307" max="2307" width="11.44140625" style="41"/>
    <col min="2308" max="2308" width="18.88671875" style="41" customWidth="1"/>
    <col min="2309" max="2309" width="16.109375" style="41" customWidth="1"/>
    <col min="2310" max="2552" width="11.44140625" style="41"/>
    <col min="2553" max="2553" width="5.6640625" style="41" customWidth="1"/>
    <col min="2554" max="2554" width="30.5546875" style="41" customWidth="1"/>
    <col min="2555" max="2555" width="22.33203125" style="41" customWidth="1"/>
    <col min="2556" max="2556" width="18.44140625" style="41" customWidth="1"/>
    <col min="2557" max="2557" width="17.88671875" style="41" customWidth="1"/>
    <col min="2558" max="2558" width="18.44140625" style="41" customWidth="1"/>
    <col min="2559" max="2559" width="21.44140625" style="41" customWidth="1"/>
    <col min="2560" max="2562" width="16.88671875" style="41" customWidth="1"/>
    <col min="2563" max="2563" width="11.44140625" style="41"/>
    <col min="2564" max="2564" width="18.88671875" style="41" customWidth="1"/>
    <col min="2565" max="2565" width="16.109375" style="41" customWidth="1"/>
    <col min="2566" max="2808" width="11.44140625" style="41"/>
    <col min="2809" max="2809" width="5.6640625" style="41" customWidth="1"/>
    <col min="2810" max="2810" width="30.5546875" style="41" customWidth="1"/>
    <col min="2811" max="2811" width="22.33203125" style="41" customWidth="1"/>
    <col min="2812" max="2812" width="18.44140625" style="41" customWidth="1"/>
    <col min="2813" max="2813" width="17.88671875" style="41" customWidth="1"/>
    <col min="2814" max="2814" width="18.44140625" style="41" customWidth="1"/>
    <col min="2815" max="2815" width="21.44140625" style="41" customWidth="1"/>
    <col min="2816" max="2818" width="16.88671875" style="41" customWidth="1"/>
    <col min="2819" max="2819" width="11.44140625" style="41"/>
    <col min="2820" max="2820" width="18.88671875" style="41" customWidth="1"/>
    <col min="2821" max="2821" width="16.109375" style="41" customWidth="1"/>
    <col min="2822" max="3064" width="11.44140625" style="41"/>
    <col min="3065" max="3065" width="5.6640625" style="41" customWidth="1"/>
    <col min="3066" max="3066" width="30.5546875" style="41" customWidth="1"/>
    <col min="3067" max="3067" width="22.33203125" style="41" customWidth="1"/>
    <col min="3068" max="3068" width="18.44140625" style="41" customWidth="1"/>
    <col min="3069" max="3069" width="17.88671875" style="41" customWidth="1"/>
    <col min="3070" max="3070" width="18.44140625" style="41" customWidth="1"/>
    <col min="3071" max="3071" width="21.44140625" style="41" customWidth="1"/>
    <col min="3072" max="3074" width="16.88671875" style="41" customWidth="1"/>
    <col min="3075" max="3075" width="11.44140625" style="41"/>
    <col min="3076" max="3076" width="18.88671875" style="41" customWidth="1"/>
    <col min="3077" max="3077" width="16.109375" style="41" customWidth="1"/>
    <col min="3078" max="3320" width="11.44140625" style="41"/>
    <col min="3321" max="3321" width="5.6640625" style="41" customWidth="1"/>
    <col min="3322" max="3322" width="30.5546875" style="41" customWidth="1"/>
    <col min="3323" max="3323" width="22.33203125" style="41" customWidth="1"/>
    <col min="3324" max="3324" width="18.44140625" style="41" customWidth="1"/>
    <col min="3325" max="3325" width="17.88671875" style="41" customWidth="1"/>
    <col min="3326" max="3326" width="18.44140625" style="41" customWidth="1"/>
    <col min="3327" max="3327" width="21.44140625" style="41" customWidth="1"/>
    <col min="3328" max="3330" width="16.88671875" style="41" customWidth="1"/>
    <col min="3331" max="3331" width="11.44140625" style="41"/>
    <col min="3332" max="3332" width="18.88671875" style="41" customWidth="1"/>
    <col min="3333" max="3333" width="16.109375" style="41" customWidth="1"/>
    <col min="3334" max="3576" width="11.44140625" style="41"/>
    <col min="3577" max="3577" width="5.6640625" style="41" customWidth="1"/>
    <col min="3578" max="3578" width="30.5546875" style="41" customWidth="1"/>
    <col min="3579" max="3579" width="22.33203125" style="41" customWidth="1"/>
    <col min="3580" max="3580" width="18.44140625" style="41" customWidth="1"/>
    <col min="3581" max="3581" width="17.88671875" style="41" customWidth="1"/>
    <col min="3582" max="3582" width="18.44140625" style="41" customWidth="1"/>
    <col min="3583" max="3583" width="21.44140625" style="41" customWidth="1"/>
    <col min="3584" max="3586" width="16.88671875" style="41" customWidth="1"/>
    <col min="3587" max="3587" width="11.44140625" style="41"/>
    <col min="3588" max="3588" width="18.88671875" style="41" customWidth="1"/>
    <col min="3589" max="3589" width="16.109375" style="41" customWidth="1"/>
    <col min="3590" max="3832" width="11.44140625" style="41"/>
    <col min="3833" max="3833" width="5.6640625" style="41" customWidth="1"/>
    <col min="3834" max="3834" width="30.5546875" style="41" customWidth="1"/>
    <col min="3835" max="3835" width="22.33203125" style="41" customWidth="1"/>
    <col min="3836" max="3836" width="18.44140625" style="41" customWidth="1"/>
    <col min="3837" max="3837" width="17.88671875" style="41" customWidth="1"/>
    <col min="3838" max="3838" width="18.44140625" style="41" customWidth="1"/>
    <col min="3839" max="3839" width="21.44140625" style="41" customWidth="1"/>
    <col min="3840" max="3842" width="16.88671875" style="41" customWidth="1"/>
    <col min="3843" max="3843" width="11.44140625" style="41"/>
    <col min="3844" max="3844" width="18.88671875" style="41" customWidth="1"/>
    <col min="3845" max="3845" width="16.109375" style="41" customWidth="1"/>
    <col min="3846" max="4088" width="11.44140625" style="41"/>
    <col min="4089" max="4089" width="5.6640625" style="41" customWidth="1"/>
    <col min="4090" max="4090" width="30.5546875" style="41" customWidth="1"/>
    <col min="4091" max="4091" width="22.33203125" style="41" customWidth="1"/>
    <col min="4092" max="4092" width="18.44140625" style="41" customWidth="1"/>
    <col min="4093" max="4093" width="17.88671875" style="41" customWidth="1"/>
    <col min="4094" max="4094" width="18.44140625" style="41" customWidth="1"/>
    <col min="4095" max="4095" width="21.44140625" style="41" customWidth="1"/>
    <col min="4096" max="4098" width="16.88671875" style="41" customWidth="1"/>
    <col min="4099" max="4099" width="11.44140625" style="41"/>
    <col min="4100" max="4100" width="18.88671875" style="41" customWidth="1"/>
    <col min="4101" max="4101" width="16.109375" style="41" customWidth="1"/>
    <col min="4102" max="4344" width="11.44140625" style="41"/>
    <col min="4345" max="4345" width="5.6640625" style="41" customWidth="1"/>
    <col min="4346" max="4346" width="30.5546875" style="41" customWidth="1"/>
    <col min="4347" max="4347" width="22.33203125" style="41" customWidth="1"/>
    <col min="4348" max="4348" width="18.44140625" style="41" customWidth="1"/>
    <col min="4349" max="4349" width="17.88671875" style="41" customWidth="1"/>
    <col min="4350" max="4350" width="18.44140625" style="41" customWidth="1"/>
    <col min="4351" max="4351" width="21.44140625" style="41" customWidth="1"/>
    <col min="4352" max="4354" width="16.88671875" style="41" customWidth="1"/>
    <col min="4355" max="4355" width="11.44140625" style="41"/>
    <col min="4356" max="4356" width="18.88671875" style="41" customWidth="1"/>
    <col min="4357" max="4357" width="16.109375" style="41" customWidth="1"/>
    <col min="4358" max="4600" width="11.44140625" style="41"/>
    <col min="4601" max="4601" width="5.6640625" style="41" customWidth="1"/>
    <col min="4602" max="4602" width="30.5546875" style="41" customWidth="1"/>
    <col min="4603" max="4603" width="22.33203125" style="41" customWidth="1"/>
    <col min="4604" max="4604" width="18.44140625" style="41" customWidth="1"/>
    <col min="4605" max="4605" width="17.88671875" style="41" customWidth="1"/>
    <col min="4606" max="4606" width="18.44140625" style="41" customWidth="1"/>
    <col min="4607" max="4607" width="21.44140625" style="41" customWidth="1"/>
    <col min="4608" max="4610" width="16.88671875" style="41" customWidth="1"/>
    <col min="4611" max="4611" width="11.44140625" style="41"/>
    <col min="4612" max="4612" width="18.88671875" style="41" customWidth="1"/>
    <col min="4613" max="4613" width="16.109375" style="41" customWidth="1"/>
    <col min="4614" max="4856" width="11.44140625" style="41"/>
    <col min="4857" max="4857" width="5.6640625" style="41" customWidth="1"/>
    <col min="4858" max="4858" width="30.5546875" style="41" customWidth="1"/>
    <col min="4859" max="4859" width="22.33203125" style="41" customWidth="1"/>
    <col min="4860" max="4860" width="18.44140625" style="41" customWidth="1"/>
    <col min="4861" max="4861" width="17.88671875" style="41" customWidth="1"/>
    <col min="4862" max="4862" width="18.44140625" style="41" customWidth="1"/>
    <col min="4863" max="4863" width="21.44140625" style="41" customWidth="1"/>
    <col min="4864" max="4866" width="16.88671875" style="41" customWidth="1"/>
    <col min="4867" max="4867" width="11.44140625" style="41"/>
    <col min="4868" max="4868" width="18.88671875" style="41" customWidth="1"/>
    <col min="4869" max="4869" width="16.109375" style="41" customWidth="1"/>
    <col min="4870" max="5112" width="11.44140625" style="41"/>
    <col min="5113" max="5113" width="5.6640625" style="41" customWidth="1"/>
    <col min="5114" max="5114" width="30.5546875" style="41" customWidth="1"/>
    <col min="5115" max="5115" width="22.33203125" style="41" customWidth="1"/>
    <col min="5116" max="5116" width="18.44140625" style="41" customWidth="1"/>
    <col min="5117" max="5117" width="17.88671875" style="41" customWidth="1"/>
    <col min="5118" max="5118" width="18.44140625" style="41" customWidth="1"/>
    <col min="5119" max="5119" width="21.44140625" style="41" customWidth="1"/>
    <col min="5120" max="5122" width="16.88671875" style="41" customWidth="1"/>
    <col min="5123" max="5123" width="11.44140625" style="41"/>
    <col min="5124" max="5124" width="18.88671875" style="41" customWidth="1"/>
    <col min="5125" max="5125" width="16.109375" style="41" customWidth="1"/>
    <col min="5126" max="5368" width="11.44140625" style="41"/>
    <col min="5369" max="5369" width="5.6640625" style="41" customWidth="1"/>
    <col min="5370" max="5370" width="30.5546875" style="41" customWidth="1"/>
    <col min="5371" max="5371" width="22.33203125" style="41" customWidth="1"/>
    <col min="5372" max="5372" width="18.44140625" style="41" customWidth="1"/>
    <col min="5373" max="5373" width="17.88671875" style="41" customWidth="1"/>
    <col min="5374" max="5374" width="18.44140625" style="41" customWidth="1"/>
    <col min="5375" max="5375" width="21.44140625" style="41" customWidth="1"/>
    <col min="5376" max="5378" width="16.88671875" style="41" customWidth="1"/>
    <col min="5379" max="5379" width="11.44140625" style="41"/>
    <col min="5380" max="5380" width="18.88671875" style="41" customWidth="1"/>
    <col min="5381" max="5381" width="16.109375" style="41" customWidth="1"/>
    <col min="5382" max="5624" width="11.44140625" style="41"/>
    <col min="5625" max="5625" width="5.6640625" style="41" customWidth="1"/>
    <col min="5626" max="5626" width="30.5546875" style="41" customWidth="1"/>
    <col min="5627" max="5627" width="22.33203125" style="41" customWidth="1"/>
    <col min="5628" max="5628" width="18.44140625" style="41" customWidth="1"/>
    <col min="5629" max="5629" width="17.88671875" style="41" customWidth="1"/>
    <col min="5630" max="5630" width="18.44140625" style="41" customWidth="1"/>
    <col min="5631" max="5631" width="21.44140625" style="41" customWidth="1"/>
    <col min="5632" max="5634" width="16.88671875" style="41" customWidth="1"/>
    <col min="5635" max="5635" width="11.44140625" style="41"/>
    <col min="5636" max="5636" width="18.88671875" style="41" customWidth="1"/>
    <col min="5637" max="5637" width="16.109375" style="41" customWidth="1"/>
    <col min="5638" max="5880" width="11.44140625" style="41"/>
    <col min="5881" max="5881" width="5.6640625" style="41" customWidth="1"/>
    <col min="5882" max="5882" width="30.5546875" style="41" customWidth="1"/>
    <col min="5883" max="5883" width="22.33203125" style="41" customWidth="1"/>
    <col min="5884" max="5884" width="18.44140625" style="41" customWidth="1"/>
    <col min="5885" max="5885" width="17.88671875" style="41" customWidth="1"/>
    <col min="5886" max="5886" width="18.44140625" style="41" customWidth="1"/>
    <col min="5887" max="5887" width="21.44140625" style="41" customWidth="1"/>
    <col min="5888" max="5890" width="16.88671875" style="41" customWidth="1"/>
    <col min="5891" max="5891" width="11.44140625" style="41"/>
    <col min="5892" max="5892" width="18.88671875" style="41" customWidth="1"/>
    <col min="5893" max="5893" width="16.109375" style="41" customWidth="1"/>
    <col min="5894" max="6136" width="11.44140625" style="41"/>
    <col min="6137" max="6137" width="5.6640625" style="41" customWidth="1"/>
    <col min="6138" max="6138" width="30.5546875" style="41" customWidth="1"/>
    <col min="6139" max="6139" width="22.33203125" style="41" customWidth="1"/>
    <col min="6140" max="6140" width="18.44140625" style="41" customWidth="1"/>
    <col min="6141" max="6141" width="17.88671875" style="41" customWidth="1"/>
    <col min="6142" max="6142" width="18.44140625" style="41" customWidth="1"/>
    <col min="6143" max="6143" width="21.44140625" style="41" customWidth="1"/>
    <col min="6144" max="6146" width="16.88671875" style="41" customWidth="1"/>
    <col min="6147" max="6147" width="11.44140625" style="41"/>
    <col min="6148" max="6148" width="18.88671875" style="41" customWidth="1"/>
    <col min="6149" max="6149" width="16.109375" style="41" customWidth="1"/>
    <col min="6150" max="6392" width="11.44140625" style="41"/>
    <col min="6393" max="6393" width="5.6640625" style="41" customWidth="1"/>
    <col min="6394" max="6394" width="30.5546875" style="41" customWidth="1"/>
    <col min="6395" max="6395" width="22.33203125" style="41" customWidth="1"/>
    <col min="6396" max="6396" width="18.44140625" style="41" customWidth="1"/>
    <col min="6397" max="6397" width="17.88671875" style="41" customWidth="1"/>
    <col min="6398" max="6398" width="18.44140625" style="41" customWidth="1"/>
    <col min="6399" max="6399" width="21.44140625" style="41" customWidth="1"/>
    <col min="6400" max="6402" width="16.88671875" style="41" customWidth="1"/>
    <col min="6403" max="6403" width="11.44140625" style="41"/>
    <col min="6404" max="6404" width="18.88671875" style="41" customWidth="1"/>
    <col min="6405" max="6405" width="16.109375" style="41" customWidth="1"/>
    <col min="6406" max="6648" width="11.44140625" style="41"/>
    <col min="6649" max="6649" width="5.6640625" style="41" customWidth="1"/>
    <col min="6650" max="6650" width="30.5546875" style="41" customWidth="1"/>
    <col min="6651" max="6651" width="22.33203125" style="41" customWidth="1"/>
    <col min="6652" max="6652" width="18.44140625" style="41" customWidth="1"/>
    <col min="6653" max="6653" width="17.88671875" style="41" customWidth="1"/>
    <col min="6654" max="6654" width="18.44140625" style="41" customWidth="1"/>
    <col min="6655" max="6655" width="21.44140625" style="41" customWidth="1"/>
    <col min="6656" max="6658" width="16.88671875" style="41" customWidth="1"/>
    <col min="6659" max="6659" width="11.44140625" style="41"/>
    <col min="6660" max="6660" width="18.88671875" style="41" customWidth="1"/>
    <col min="6661" max="6661" width="16.109375" style="41" customWidth="1"/>
    <col min="6662" max="6904" width="11.44140625" style="41"/>
    <col min="6905" max="6905" width="5.6640625" style="41" customWidth="1"/>
    <col min="6906" max="6906" width="30.5546875" style="41" customWidth="1"/>
    <col min="6907" max="6907" width="22.33203125" style="41" customWidth="1"/>
    <col min="6908" max="6908" width="18.44140625" style="41" customWidth="1"/>
    <col min="6909" max="6909" width="17.88671875" style="41" customWidth="1"/>
    <col min="6910" max="6910" width="18.44140625" style="41" customWidth="1"/>
    <col min="6911" max="6911" width="21.44140625" style="41" customWidth="1"/>
    <col min="6912" max="6914" width="16.88671875" style="41" customWidth="1"/>
    <col min="6915" max="6915" width="11.44140625" style="41"/>
    <col min="6916" max="6916" width="18.88671875" style="41" customWidth="1"/>
    <col min="6917" max="6917" width="16.109375" style="41" customWidth="1"/>
    <col min="6918" max="7160" width="11.44140625" style="41"/>
    <col min="7161" max="7161" width="5.6640625" style="41" customWidth="1"/>
    <col min="7162" max="7162" width="30.5546875" style="41" customWidth="1"/>
    <col min="7163" max="7163" width="22.33203125" style="41" customWidth="1"/>
    <col min="7164" max="7164" width="18.44140625" style="41" customWidth="1"/>
    <col min="7165" max="7165" width="17.88671875" style="41" customWidth="1"/>
    <col min="7166" max="7166" width="18.44140625" style="41" customWidth="1"/>
    <col min="7167" max="7167" width="21.44140625" style="41" customWidth="1"/>
    <col min="7168" max="7170" width="16.88671875" style="41" customWidth="1"/>
    <col min="7171" max="7171" width="11.44140625" style="41"/>
    <col min="7172" max="7172" width="18.88671875" style="41" customWidth="1"/>
    <col min="7173" max="7173" width="16.109375" style="41" customWidth="1"/>
    <col min="7174" max="7416" width="11.44140625" style="41"/>
    <col min="7417" max="7417" width="5.6640625" style="41" customWidth="1"/>
    <col min="7418" max="7418" width="30.5546875" style="41" customWidth="1"/>
    <col min="7419" max="7419" width="22.33203125" style="41" customWidth="1"/>
    <col min="7420" max="7420" width="18.44140625" style="41" customWidth="1"/>
    <col min="7421" max="7421" width="17.88671875" style="41" customWidth="1"/>
    <col min="7422" max="7422" width="18.44140625" style="41" customWidth="1"/>
    <col min="7423" max="7423" width="21.44140625" style="41" customWidth="1"/>
    <col min="7424" max="7426" width="16.88671875" style="41" customWidth="1"/>
    <col min="7427" max="7427" width="11.44140625" style="41"/>
    <col min="7428" max="7428" width="18.88671875" style="41" customWidth="1"/>
    <col min="7429" max="7429" width="16.109375" style="41" customWidth="1"/>
    <col min="7430" max="7672" width="11.44140625" style="41"/>
    <col min="7673" max="7673" width="5.6640625" style="41" customWidth="1"/>
    <col min="7674" max="7674" width="30.5546875" style="41" customWidth="1"/>
    <col min="7675" max="7675" width="22.33203125" style="41" customWidth="1"/>
    <col min="7676" max="7676" width="18.44140625" style="41" customWidth="1"/>
    <col min="7677" max="7677" width="17.88671875" style="41" customWidth="1"/>
    <col min="7678" max="7678" width="18.44140625" style="41" customWidth="1"/>
    <col min="7679" max="7679" width="21.44140625" style="41" customWidth="1"/>
    <col min="7680" max="7682" width="16.88671875" style="41" customWidth="1"/>
    <col min="7683" max="7683" width="11.44140625" style="41"/>
    <col min="7684" max="7684" width="18.88671875" style="41" customWidth="1"/>
    <col min="7685" max="7685" width="16.109375" style="41" customWidth="1"/>
    <col min="7686" max="7928" width="11.44140625" style="41"/>
    <col min="7929" max="7929" width="5.6640625" style="41" customWidth="1"/>
    <col min="7930" max="7930" width="30.5546875" style="41" customWidth="1"/>
    <col min="7931" max="7931" width="22.33203125" style="41" customWidth="1"/>
    <col min="7932" max="7932" width="18.44140625" style="41" customWidth="1"/>
    <col min="7933" max="7933" width="17.88671875" style="41" customWidth="1"/>
    <col min="7934" max="7934" width="18.44140625" style="41" customWidth="1"/>
    <col min="7935" max="7935" width="21.44140625" style="41" customWidth="1"/>
    <col min="7936" max="7938" width="16.88671875" style="41" customWidth="1"/>
    <col min="7939" max="7939" width="11.44140625" style="41"/>
    <col min="7940" max="7940" width="18.88671875" style="41" customWidth="1"/>
    <col min="7941" max="7941" width="16.109375" style="41" customWidth="1"/>
    <col min="7942" max="8184" width="11.44140625" style="41"/>
    <col min="8185" max="8185" width="5.6640625" style="41" customWidth="1"/>
    <col min="8186" max="8186" width="30.5546875" style="41" customWidth="1"/>
    <col min="8187" max="8187" width="22.33203125" style="41" customWidth="1"/>
    <col min="8188" max="8188" width="18.44140625" style="41" customWidth="1"/>
    <col min="8189" max="8189" width="17.88671875" style="41" customWidth="1"/>
    <col min="8190" max="8190" width="18.44140625" style="41" customWidth="1"/>
    <col min="8191" max="8191" width="21.44140625" style="41" customWidth="1"/>
    <col min="8192" max="8194" width="16.88671875" style="41" customWidth="1"/>
    <col min="8195" max="8195" width="11.44140625" style="41"/>
    <col min="8196" max="8196" width="18.88671875" style="41" customWidth="1"/>
    <col min="8197" max="8197" width="16.109375" style="41" customWidth="1"/>
    <col min="8198" max="8440" width="11.44140625" style="41"/>
    <col min="8441" max="8441" width="5.6640625" style="41" customWidth="1"/>
    <col min="8442" max="8442" width="30.5546875" style="41" customWidth="1"/>
    <col min="8443" max="8443" width="22.33203125" style="41" customWidth="1"/>
    <col min="8444" max="8444" width="18.44140625" style="41" customWidth="1"/>
    <col min="8445" max="8445" width="17.88671875" style="41" customWidth="1"/>
    <col min="8446" max="8446" width="18.44140625" style="41" customWidth="1"/>
    <col min="8447" max="8447" width="21.44140625" style="41" customWidth="1"/>
    <col min="8448" max="8450" width="16.88671875" style="41" customWidth="1"/>
    <col min="8451" max="8451" width="11.44140625" style="41"/>
    <col min="8452" max="8452" width="18.88671875" style="41" customWidth="1"/>
    <col min="8453" max="8453" width="16.109375" style="41" customWidth="1"/>
    <col min="8454" max="8696" width="11.44140625" style="41"/>
    <col min="8697" max="8697" width="5.6640625" style="41" customWidth="1"/>
    <col min="8698" max="8698" width="30.5546875" style="41" customWidth="1"/>
    <col min="8699" max="8699" width="22.33203125" style="41" customWidth="1"/>
    <col min="8700" max="8700" width="18.44140625" style="41" customWidth="1"/>
    <col min="8701" max="8701" width="17.88671875" style="41" customWidth="1"/>
    <col min="8702" max="8702" width="18.44140625" style="41" customWidth="1"/>
    <col min="8703" max="8703" width="21.44140625" style="41" customWidth="1"/>
    <col min="8704" max="8706" width="16.88671875" style="41" customWidth="1"/>
    <col min="8707" max="8707" width="11.44140625" style="41"/>
    <col min="8708" max="8708" width="18.88671875" style="41" customWidth="1"/>
    <col min="8709" max="8709" width="16.109375" style="41" customWidth="1"/>
    <col min="8710" max="8952" width="11.44140625" style="41"/>
    <col min="8953" max="8953" width="5.6640625" style="41" customWidth="1"/>
    <col min="8954" max="8954" width="30.5546875" style="41" customWidth="1"/>
    <col min="8955" max="8955" width="22.33203125" style="41" customWidth="1"/>
    <col min="8956" max="8956" width="18.44140625" style="41" customWidth="1"/>
    <col min="8957" max="8957" width="17.88671875" style="41" customWidth="1"/>
    <col min="8958" max="8958" width="18.44140625" style="41" customWidth="1"/>
    <col min="8959" max="8959" width="21.44140625" style="41" customWidth="1"/>
    <col min="8960" max="8962" width="16.88671875" style="41" customWidth="1"/>
    <col min="8963" max="8963" width="11.44140625" style="41"/>
    <col min="8964" max="8964" width="18.88671875" style="41" customWidth="1"/>
    <col min="8965" max="8965" width="16.109375" style="41" customWidth="1"/>
    <col min="8966" max="9208" width="11.44140625" style="41"/>
    <col min="9209" max="9209" width="5.6640625" style="41" customWidth="1"/>
    <col min="9210" max="9210" width="30.5546875" style="41" customWidth="1"/>
    <col min="9211" max="9211" width="22.33203125" style="41" customWidth="1"/>
    <col min="9212" max="9212" width="18.44140625" style="41" customWidth="1"/>
    <col min="9213" max="9213" width="17.88671875" style="41" customWidth="1"/>
    <col min="9214" max="9214" width="18.44140625" style="41" customWidth="1"/>
    <col min="9215" max="9215" width="21.44140625" style="41" customWidth="1"/>
    <col min="9216" max="9218" width="16.88671875" style="41" customWidth="1"/>
    <col min="9219" max="9219" width="11.44140625" style="41"/>
    <col min="9220" max="9220" width="18.88671875" style="41" customWidth="1"/>
    <col min="9221" max="9221" width="16.109375" style="41" customWidth="1"/>
    <col min="9222" max="9464" width="11.44140625" style="41"/>
    <col min="9465" max="9465" width="5.6640625" style="41" customWidth="1"/>
    <col min="9466" max="9466" width="30.5546875" style="41" customWidth="1"/>
    <col min="9467" max="9467" width="22.33203125" style="41" customWidth="1"/>
    <col min="9468" max="9468" width="18.44140625" style="41" customWidth="1"/>
    <col min="9469" max="9469" width="17.88671875" style="41" customWidth="1"/>
    <col min="9470" max="9470" width="18.44140625" style="41" customWidth="1"/>
    <col min="9471" max="9471" width="21.44140625" style="41" customWidth="1"/>
    <col min="9472" max="9474" width="16.88671875" style="41" customWidth="1"/>
    <col min="9475" max="9475" width="11.44140625" style="41"/>
    <col min="9476" max="9476" width="18.88671875" style="41" customWidth="1"/>
    <col min="9477" max="9477" width="16.109375" style="41" customWidth="1"/>
    <col min="9478" max="9720" width="11.44140625" style="41"/>
    <col min="9721" max="9721" width="5.6640625" style="41" customWidth="1"/>
    <col min="9722" max="9722" width="30.5546875" style="41" customWidth="1"/>
    <col min="9723" max="9723" width="22.33203125" style="41" customWidth="1"/>
    <col min="9724" max="9724" width="18.44140625" style="41" customWidth="1"/>
    <col min="9725" max="9725" width="17.88671875" style="41" customWidth="1"/>
    <col min="9726" max="9726" width="18.44140625" style="41" customWidth="1"/>
    <col min="9727" max="9727" width="21.44140625" style="41" customWidth="1"/>
    <col min="9728" max="9730" width="16.88671875" style="41" customWidth="1"/>
    <col min="9731" max="9731" width="11.44140625" style="41"/>
    <col min="9732" max="9732" width="18.88671875" style="41" customWidth="1"/>
    <col min="9733" max="9733" width="16.109375" style="41" customWidth="1"/>
    <col min="9734" max="9976" width="11.44140625" style="41"/>
    <col min="9977" max="9977" width="5.6640625" style="41" customWidth="1"/>
    <col min="9978" max="9978" width="30.5546875" style="41" customWidth="1"/>
    <col min="9979" max="9979" width="22.33203125" style="41" customWidth="1"/>
    <col min="9980" max="9980" width="18.44140625" style="41" customWidth="1"/>
    <col min="9981" max="9981" width="17.88671875" style="41" customWidth="1"/>
    <col min="9982" max="9982" width="18.44140625" style="41" customWidth="1"/>
    <col min="9983" max="9983" width="21.44140625" style="41" customWidth="1"/>
    <col min="9984" max="9986" width="16.88671875" style="41" customWidth="1"/>
    <col min="9987" max="9987" width="11.44140625" style="41"/>
    <col min="9988" max="9988" width="18.88671875" style="41" customWidth="1"/>
    <col min="9989" max="9989" width="16.109375" style="41" customWidth="1"/>
    <col min="9990" max="10232" width="11.44140625" style="41"/>
    <col min="10233" max="10233" width="5.6640625" style="41" customWidth="1"/>
    <col min="10234" max="10234" width="30.5546875" style="41" customWidth="1"/>
    <col min="10235" max="10235" width="22.33203125" style="41" customWidth="1"/>
    <col min="10236" max="10236" width="18.44140625" style="41" customWidth="1"/>
    <col min="10237" max="10237" width="17.88671875" style="41" customWidth="1"/>
    <col min="10238" max="10238" width="18.44140625" style="41" customWidth="1"/>
    <col min="10239" max="10239" width="21.44140625" style="41" customWidth="1"/>
    <col min="10240" max="10242" width="16.88671875" style="41" customWidth="1"/>
    <col min="10243" max="10243" width="11.44140625" style="41"/>
    <col min="10244" max="10244" width="18.88671875" style="41" customWidth="1"/>
    <col min="10245" max="10245" width="16.109375" style="41" customWidth="1"/>
    <col min="10246" max="10488" width="11.44140625" style="41"/>
    <col min="10489" max="10489" width="5.6640625" style="41" customWidth="1"/>
    <col min="10490" max="10490" width="30.5546875" style="41" customWidth="1"/>
    <col min="10491" max="10491" width="22.33203125" style="41" customWidth="1"/>
    <col min="10492" max="10492" width="18.44140625" style="41" customWidth="1"/>
    <col min="10493" max="10493" width="17.88671875" style="41" customWidth="1"/>
    <col min="10494" max="10494" width="18.44140625" style="41" customWidth="1"/>
    <col min="10495" max="10495" width="21.44140625" style="41" customWidth="1"/>
    <col min="10496" max="10498" width="16.88671875" style="41" customWidth="1"/>
    <col min="10499" max="10499" width="11.44140625" style="41"/>
    <col min="10500" max="10500" width="18.88671875" style="41" customWidth="1"/>
    <col min="10501" max="10501" width="16.109375" style="41" customWidth="1"/>
    <col min="10502" max="10744" width="11.44140625" style="41"/>
    <col min="10745" max="10745" width="5.6640625" style="41" customWidth="1"/>
    <col min="10746" max="10746" width="30.5546875" style="41" customWidth="1"/>
    <col min="10747" max="10747" width="22.33203125" style="41" customWidth="1"/>
    <col min="10748" max="10748" width="18.44140625" style="41" customWidth="1"/>
    <col min="10749" max="10749" width="17.88671875" style="41" customWidth="1"/>
    <col min="10750" max="10750" width="18.44140625" style="41" customWidth="1"/>
    <col min="10751" max="10751" width="21.44140625" style="41" customWidth="1"/>
    <col min="10752" max="10754" width="16.88671875" style="41" customWidth="1"/>
    <col min="10755" max="10755" width="11.44140625" style="41"/>
    <col min="10756" max="10756" width="18.88671875" style="41" customWidth="1"/>
    <col min="10757" max="10757" width="16.109375" style="41" customWidth="1"/>
    <col min="10758" max="11000" width="11.44140625" style="41"/>
    <col min="11001" max="11001" width="5.6640625" style="41" customWidth="1"/>
    <col min="11002" max="11002" width="30.5546875" style="41" customWidth="1"/>
    <col min="11003" max="11003" width="22.33203125" style="41" customWidth="1"/>
    <col min="11004" max="11004" width="18.44140625" style="41" customWidth="1"/>
    <col min="11005" max="11005" width="17.88671875" style="41" customWidth="1"/>
    <col min="11006" max="11006" width="18.44140625" style="41" customWidth="1"/>
    <col min="11007" max="11007" width="21.44140625" style="41" customWidth="1"/>
    <col min="11008" max="11010" width="16.88671875" style="41" customWidth="1"/>
    <col min="11011" max="11011" width="11.44140625" style="41"/>
    <col min="11012" max="11012" width="18.88671875" style="41" customWidth="1"/>
    <col min="11013" max="11013" width="16.109375" style="41" customWidth="1"/>
    <col min="11014" max="11256" width="11.44140625" style="41"/>
    <col min="11257" max="11257" width="5.6640625" style="41" customWidth="1"/>
    <col min="11258" max="11258" width="30.5546875" style="41" customWidth="1"/>
    <col min="11259" max="11259" width="22.33203125" style="41" customWidth="1"/>
    <col min="11260" max="11260" width="18.44140625" style="41" customWidth="1"/>
    <col min="11261" max="11261" width="17.88671875" style="41" customWidth="1"/>
    <col min="11262" max="11262" width="18.44140625" style="41" customWidth="1"/>
    <col min="11263" max="11263" width="21.44140625" style="41" customWidth="1"/>
    <col min="11264" max="11266" width="16.88671875" style="41" customWidth="1"/>
    <col min="11267" max="11267" width="11.44140625" style="41"/>
    <col min="11268" max="11268" width="18.88671875" style="41" customWidth="1"/>
    <col min="11269" max="11269" width="16.109375" style="41" customWidth="1"/>
    <col min="11270" max="11512" width="11.44140625" style="41"/>
    <col min="11513" max="11513" width="5.6640625" style="41" customWidth="1"/>
    <col min="11514" max="11514" width="30.5546875" style="41" customWidth="1"/>
    <col min="11515" max="11515" width="22.33203125" style="41" customWidth="1"/>
    <col min="11516" max="11516" width="18.44140625" style="41" customWidth="1"/>
    <col min="11517" max="11517" width="17.88671875" style="41" customWidth="1"/>
    <col min="11518" max="11518" width="18.44140625" style="41" customWidth="1"/>
    <col min="11519" max="11519" width="21.44140625" style="41" customWidth="1"/>
    <col min="11520" max="11522" width="16.88671875" style="41" customWidth="1"/>
    <col min="11523" max="11523" width="11.44140625" style="41"/>
    <col min="11524" max="11524" width="18.88671875" style="41" customWidth="1"/>
    <col min="11525" max="11525" width="16.109375" style="41" customWidth="1"/>
    <col min="11526" max="11768" width="11.44140625" style="41"/>
    <col min="11769" max="11769" width="5.6640625" style="41" customWidth="1"/>
    <col min="11770" max="11770" width="30.5546875" style="41" customWidth="1"/>
    <col min="11771" max="11771" width="22.33203125" style="41" customWidth="1"/>
    <col min="11772" max="11772" width="18.44140625" style="41" customWidth="1"/>
    <col min="11773" max="11773" width="17.88671875" style="41" customWidth="1"/>
    <col min="11774" max="11774" width="18.44140625" style="41" customWidth="1"/>
    <col min="11775" max="11775" width="21.44140625" style="41" customWidth="1"/>
    <col min="11776" max="11778" width="16.88671875" style="41" customWidth="1"/>
    <col min="11779" max="11779" width="11.44140625" style="41"/>
    <col min="11780" max="11780" width="18.88671875" style="41" customWidth="1"/>
    <col min="11781" max="11781" width="16.109375" style="41" customWidth="1"/>
    <col min="11782" max="12024" width="11.44140625" style="41"/>
    <col min="12025" max="12025" width="5.6640625" style="41" customWidth="1"/>
    <col min="12026" max="12026" width="30.5546875" style="41" customWidth="1"/>
    <col min="12027" max="12027" width="22.33203125" style="41" customWidth="1"/>
    <col min="12028" max="12028" width="18.44140625" style="41" customWidth="1"/>
    <col min="12029" max="12029" width="17.88671875" style="41" customWidth="1"/>
    <col min="12030" max="12030" width="18.44140625" style="41" customWidth="1"/>
    <col min="12031" max="12031" width="21.44140625" style="41" customWidth="1"/>
    <col min="12032" max="12034" width="16.88671875" style="41" customWidth="1"/>
    <col min="12035" max="12035" width="11.44140625" style="41"/>
    <col min="12036" max="12036" width="18.88671875" style="41" customWidth="1"/>
    <col min="12037" max="12037" width="16.109375" style="41" customWidth="1"/>
    <col min="12038" max="12280" width="11.44140625" style="41"/>
    <col min="12281" max="12281" width="5.6640625" style="41" customWidth="1"/>
    <col min="12282" max="12282" width="30.5546875" style="41" customWidth="1"/>
    <col min="12283" max="12283" width="22.33203125" style="41" customWidth="1"/>
    <col min="12284" max="12284" width="18.44140625" style="41" customWidth="1"/>
    <col min="12285" max="12285" width="17.88671875" style="41" customWidth="1"/>
    <col min="12286" max="12286" width="18.44140625" style="41" customWidth="1"/>
    <col min="12287" max="12287" width="21.44140625" style="41" customWidth="1"/>
    <col min="12288" max="12290" width="16.88671875" style="41" customWidth="1"/>
    <col min="12291" max="12291" width="11.44140625" style="41"/>
    <col min="12292" max="12292" width="18.88671875" style="41" customWidth="1"/>
    <col min="12293" max="12293" width="16.109375" style="41" customWidth="1"/>
    <col min="12294" max="12536" width="11.44140625" style="41"/>
    <col min="12537" max="12537" width="5.6640625" style="41" customWidth="1"/>
    <col min="12538" max="12538" width="30.5546875" style="41" customWidth="1"/>
    <col min="12539" max="12539" width="22.33203125" style="41" customWidth="1"/>
    <col min="12540" max="12540" width="18.44140625" style="41" customWidth="1"/>
    <col min="12541" max="12541" width="17.88671875" style="41" customWidth="1"/>
    <col min="12542" max="12542" width="18.44140625" style="41" customWidth="1"/>
    <col min="12543" max="12543" width="21.44140625" style="41" customWidth="1"/>
    <col min="12544" max="12546" width="16.88671875" style="41" customWidth="1"/>
    <col min="12547" max="12547" width="11.44140625" style="41"/>
    <col min="12548" max="12548" width="18.88671875" style="41" customWidth="1"/>
    <col min="12549" max="12549" width="16.109375" style="41" customWidth="1"/>
    <col min="12550" max="12792" width="11.44140625" style="41"/>
    <col min="12793" max="12793" width="5.6640625" style="41" customWidth="1"/>
    <col min="12794" max="12794" width="30.5546875" style="41" customWidth="1"/>
    <col min="12795" max="12795" width="22.33203125" style="41" customWidth="1"/>
    <col min="12796" max="12796" width="18.44140625" style="41" customWidth="1"/>
    <col min="12797" max="12797" width="17.88671875" style="41" customWidth="1"/>
    <col min="12798" max="12798" width="18.44140625" style="41" customWidth="1"/>
    <col min="12799" max="12799" width="21.44140625" style="41" customWidth="1"/>
    <col min="12800" max="12802" width="16.88671875" style="41" customWidth="1"/>
    <col min="12803" max="12803" width="11.44140625" style="41"/>
    <col min="12804" max="12804" width="18.88671875" style="41" customWidth="1"/>
    <col min="12805" max="12805" width="16.109375" style="41" customWidth="1"/>
    <col min="12806" max="13048" width="11.44140625" style="41"/>
    <col min="13049" max="13049" width="5.6640625" style="41" customWidth="1"/>
    <col min="13050" max="13050" width="30.5546875" style="41" customWidth="1"/>
    <col min="13051" max="13051" width="22.33203125" style="41" customWidth="1"/>
    <col min="13052" max="13052" width="18.44140625" style="41" customWidth="1"/>
    <col min="13053" max="13053" width="17.88671875" style="41" customWidth="1"/>
    <col min="13054" max="13054" width="18.44140625" style="41" customWidth="1"/>
    <col min="13055" max="13055" width="21.44140625" style="41" customWidth="1"/>
    <col min="13056" max="13058" width="16.88671875" style="41" customWidth="1"/>
    <col min="13059" max="13059" width="11.44140625" style="41"/>
    <col min="13060" max="13060" width="18.88671875" style="41" customWidth="1"/>
    <col min="13061" max="13061" width="16.109375" style="41" customWidth="1"/>
    <col min="13062" max="13304" width="11.44140625" style="41"/>
    <col min="13305" max="13305" width="5.6640625" style="41" customWidth="1"/>
    <col min="13306" max="13306" width="30.5546875" style="41" customWidth="1"/>
    <col min="13307" max="13307" width="22.33203125" style="41" customWidth="1"/>
    <col min="13308" max="13308" width="18.44140625" style="41" customWidth="1"/>
    <col min="13309" max="13309" width="17.88671875" style="41" customWidth="1"/>
    <col min="13310" max="13310" width="18.44140625" style="41" customWidth="1"/>
    <col min="13311" max="13311" width="21.44140625" style="41" customWidth="1"/>
    <col min="13312" max="13314" width="16.88671875" style="41" customWidth="1"/>
    <col min="13315" max="13315" width="11.44140625" style="41"/>
    <col min="13316" max="13316" width="18.88671875" style="41" customWidth="1"/>
    <col min="13317" max="13317" width="16.109375" style="41" customWidth="1"/>
    <col min="13318" max="13560" width="11.44140625" style="41"/>
    <col min="13561" max="13561" width="5.6640625" style="41" customWidth="1"/>
    <col min="13562" max="13562" width="30.5546875" style="41" customWidth="1"/>
    <col min="13563" max="13563" width="22.33203125" style="41" customWidth="1"/>
    <col min="13564" max="13564" width="18.44140625" style="41" customWidth="1"/>
    <col min="13565" max="13565" width="17.88671875" style="41" customWidth="1"/>
    <col min="13566" max="13566" width="18.44140625" style="41" customWidth="1"/>
    <col min="13567" max="13567" width="21.44140625" style="41" customWidth="1"/>
    <col min="13568" max="13570" width="16.88671875" style="41" customWidth="1"/>
    <col min="13571" max="13571" width="11.44140625" style="41"/>
    <col min="13572" max="13572" width="18.88671875" style="41" customWidth="1"/>
    <col min="13573" max="13573" width="16.109375" style="41" customWidth="1"/>
    <col min="13574" max="13816" width="11.44140625" style="41"/>
    <col min="13817" max="13817" width="5.6640625" style="41" customWidth="1"/>
    <col min="13818" max="13818" width="30.5546875" style="41" customWidth="1"/>
    <col min="13819" max="13819" width="22.33203125" style="41" customWidth="1"/>
    <col min="13820" max="13820" width="18.44140625" style="41" customWidth="1"/>
    <col min="13821" max="13821" width="17.88671875" style="41" customWidth="1"/>
    <col min="13822" max="13822" width="18.44140625" style="41" customWidth="1"/>
    <col min="13823" max="13823" width="21.44140625" style="41" customWidth="1"/>
    <col min="13824" max="13826" width="16.88671875" style="41" customWidth="1"/>
    <col min="13827" max="13827" width="11.44140625" style="41"/>
    <col min="13828" max="13828" width="18.88671875" style="41" customWidth="1"/>
    <col min="13829" max="13829" width="16.109375" style="41" customWidth="1"/>
    <col min="13830" max="14072" width="11.44140625" style="41"/>
    <col min="14073" max="14073" width="5.6640625" style="41" customWidth="1"/>
    <col min="14074" max="14074" width="30.5546875" style="41" customWidth="1"/>
    <col min="14075" max="14075" width="22.33203125" style="41" customWidth="1"/>
    <col min="14076" max="14076" width="18.44140625" style="41" customWidth="1"/>
    <col min="14077" max="14077" width="17.88671875" style="41" customWidth="1"/>
    <col min="14078" max="14078" width="18.44140625" style="41" customWidth="1"/>
    <col min="14079" max="14079" width="21.44140625" style="41" customWidth="1"/>
    <col min="14080" max="14082" width="16.88671875" style="41" customWidth="1"/>
    <col min="14083" max="14083" width="11.44140625" style="41"/>
    <col min="14084" max="14084" width="18.88671875" style="41" customWidth="1"/>
    <col min="14085" max="14085" width="16.109375" style="41" customWidth="1"/>
    <col min="14086" max="14328" width="11.44140625" style="41"/>
    <col min="14329" max="14329" width="5.6640625" style="41" customWidth="1"/>
    <col min="14330" max="14330" width="30.5546875" style="41" customWidth="1"/>
    <col min="14331" max="14331" width="22.33203125" style="41" customWidth="1"/>
    <col min="14332" max="14332" width="18.44140625" style="41" customWidth="1"/>
    <col min="14333" max="14333" width="17.88671875" style="41" customWidth="1"/>
    <col min="14334" max="14334" width="18.44140625" style="41" customWidth="1"/>
    <col min="14335" max="14335" width="21.44140625" style="41" customWidth="1"/>
    <col min="14336" max="14338" width="16.88671875" style="41" customWidth="1"/>
    <col min="14339" max="14339" width="11.44140625" style="41"/>
    <col min="14340" max="14340" width="18.88671875" style="41" customWidth="1"/>
    <col min="14341" max="14341" width="16.109375" style="41" customWidth="1"/>
    <col min="14342" max="14584" width="11.44140625" style="41"/>
    <col min="14585" max="14585" width="5.6640625" style="41" customWidth="1"/>
    <col min="14586" max="14586" width="30.5546875" style="41" customWidth="1"/>
    <col min="14587" max="14587" width="22.33203125" style="41" customWidth="1"/>
    <col min="14588" max="14588" width="18.44140625" style="41" customWidth="1"/>
    <col min="14589" max="14589" width="17.88671875" style="41" customWidth="1"/>
    <col min="14590" max="14590" width="18.44140625" style="41" customWidth="1"/>
    <col min="14591" max="14591" width="21.44140625" style="41" customWidth="1"/>
    <col min="14592" max="14594" width="16.88671875" style="41" customWidth="1"/>
    <col min="14595" max="14595" width="11.44140625" style="41"/>
    <col min="14596" max="14596" width="18.88671875" style="41" customWidth="1"/>
    <col min="14597" max="14597" width="16.109375" style="41" customWidth="1"/>
    <col min="14598" max="14840" width="11.44140625" style="41"/>
    <col min="14841" max="14841" width="5.6640625" style="41" customWidth="1"/>
    <col min="14842" max="14842" width="30.5546875" style="41" customWidth="1"/>
    <col min="14843" max="14843" width="22.33203125" style="41" customWidth="1"/>
    <col min="14844" max="14844" width="18.44140625" style="41" customWidth="1"/>
    <col min="14845" max="14845" width="17.88671875" style="41" customWidth="1"/>
    <col min="14846" max="14846" width="18.44140625" style="41" customWidth="1"/>
    <col min="14847" max="14847" width="21.44140625" style="41" customWidth="1"/>
    <col min="14848" max="14850" width="16.88671875" style="41" customWidth="1"/>
    <col min="14851" max="14851" width="11.44140625" style="41"/>
    <col min="14852" max="14852" width="18.88671875" style="41" customWidth="1"/>
    <col min="14853" max="14853" width="16.109375" style="41" customWidth="1"/>
    <col min="14854" max="15096" width="11.44140625" style="41"/>
    <col min="15097" max="15097" width="5.6640625" style="41" customWidth="1"/>
    <col min="15098" max="15098" width="30.5546875" style="41" customWidth="1"/>
    <col min="15099" max="15099" width="22.33203125" style="41" customWidth="1"/>
    <col min="15100" max="15100" width="18.44140625" style="41" customWidth="1"/>
    <col min="15101" max="15101" width="17.88671875" style="41" customWidth="1"/>
    <col min="15102" max="15102" width="18.44140625" style="41" customWidth="1"/>
    <col min="15103" max="15103" width="21.44140625" style="41" customWidth="1"/>
    <col min="15104" max="15106" width="16.88671875" style="41" customWidth="1"/>
    <col min="15107" max="15107" width="11.44140625" style="41"/>
    <col min="15108" max="15108" width="18.88671875" style="41" customWidth="1"/>
    <col min="15109" max="15109" width="16.109375" style="41" customWidth="1"/>
    <col min="15110" max="15352" width="11.44140625" style="41"/>
    <col min="15353" max="15353" width="5.6640625" style="41" customWidth="1"/>
    <col min="15354" max="15354" width="30.5546875" style="41" customWidth="1"/>
    <col min="15355" max="15355" width="22.33203125" style="41" customWidth="1"/>
    <col min="15356" max="15356" width="18.44140625" style="41" customWidth="1"/>
    <col min="15357" max="15357" width="17.88671875" style="41" customWidth="1"/>
    <col min="15358" max="15358" width="18.44140625" style="41" customWidth="1"/>
    <col min="15359" max="15359" width="21.44140625" style="41" customWidth="1"/>
    <col min="15360" max="15362" width="16.88671875" style="41" customWidth="1"/>
    <col min="15363" max="15363" width="11.44140625" style="41"/>
    <col min="15364" max="15364" width="18.88671875" style="41" customWidth="1"/>
    <col min="15365" max="15365" width="16.109375" style="41" customWidth="1"/>
    <col min="15366" max="15608" width="11.44140625" style="41"/>
    <col min="15609" max="15609" width="5.6640625" style="41" customWidth="1"/>
    <col min="15610" max="15610" width="30.5546875" style="41" customWidth="1"/>
    <col min="15611" max="15611" width="22.33203125" style="41" customWidth="1"/>
    <col min="15612" max="15612" width="18.44140625" style="41" customWidth="1"/>
    <col min="15613" max="15613" width="17.88671875" style="41" customWidth="1"/>
    <col min="15614" max="15614" width="18.44140625" style="41" customWidth="1"/>
    <col min="15615" max="15615" width="21.44140625" style="41" customWidth="1"/>
    <col min="15616" max="15618" width="16.88671875" style="41" customWidth="1"/>
    <col min="15619" max="15619" width="11.44140625" style="41"/>
    <col min="15620" max="15620" width="18.88671875" style="41" customWidth="1"/>
    <col min="15621" max="15621" width="16.109375" style="41" customWidth="1"/>
    <col min="15622" max="15864" width="11.44140625" style="41"/>
    <col min="15865" max="15865" width="5.6640625" style="41" customWidth="1"/>
    <col min="15866" max="15866" width="30.5546875" style="41" customWidth="1"/>
    <col min="15867" max="15867" width="22.33203125" style="41" customWidth="1"/>
    <col min="15868" max="15868" width="18.44140625" style="41" customWidth="1"/>
    <col min="15869" max="15869" width="17.88671875" style="41" customWidth="1"/>
    <col min="15870" max="15870" width="18.44140625" style="41" customWidth="1"/>
    <col min="15871" max="15871" width="21.44140625" style="41" customWidth="1"/>
    <col min="15872" max="15874" width="16.88671875" style="41" customWidth="1"/>
    <col min="15875" max="15875" width="11.44140625" style="41"/>
    <col min="15876" max="15876" width="18.88671875" style="41" customWidth="1"/>
    <col min="15877" max="15877" width="16.109375" style="41" customWidth="1"/>
    <col min="15878" max="16120" width="11.44140625" style="41"/>
    <col min="16121" max="16121" width="5.6640625" style="41" customWidth="1"/>
    <col min="16122" max="16122" width="30.5546875" style="41" customWidth="1"/>
    <col min="16123" max="16123" width="22.33203125" style="41" customWidth="1"/>
    <col min="16124" max="16124" width="18.44140625" style="41" customWidth="1"/>
    <col min="16125" max="16125" width="17.88671875" style="41" customWidth="1"/>
    <col min="16126" max="16126" width="18.44140625" style="41" customWidth="1"/>
    <col min="16127" max="16127" width="21.44140625" style="41" customWidth="1"/>
    <col min="16128" max="16130" width="16.88671875" style="41" customWidth="1"/>
    <col min="16131" max="16131" width="11.44140625" style="41"/>
    <col min="16132" max="16132" width="18.88671875" style="41" customWidth="1"/>
    <col min="16133" max="16133" width="16.109375" style="41" customWidth="1"/>
    <col min="16134" max="16384" width="11.44140625" style="41"/>
  </cols>
  <sheetData>
    <row r="1" spans="1:6" x14ac:dyDescent="0.25">
      <c r="A1" s="342" t="s">
        <v>30</v>
      </c>
      <c r="B1" s="342"/>
      <c r="C1" s="342"/>
      <c r="D1" s="342"/>
      <c r="E1" s="342"/>
      <c r="F1" s="342"/>
    </row>
    <row r="2" spans="1:6" x14ac:dyDescent="0.25">
      <c r="A2" s="342" t="s">
        <v>31</v>
      </c>
      <c r="B2" s="342"/>
      <c r="C2" s="342"/>
      <c r="D2" s="342"/>
      <c r="E2" s="342"/>
      <c r="F2" s="342"/>
    </row>
    <row r="3" spans="1:6" x14ac:dyDescent="0.25">
      <c r="A3" s="453" t="s">
        <v>34</v>
      </c>
      <c r="B3" s="453"/>
    </row>
    <row r="4" spans="1:6" x14ac:dyDescent="0.25">
      <c r="A4" s="453" t="s">
        <v>26</v>
      </c>
      <c r="B4" s="453"/>
      <c r="D4" s="213"/>
      <c r="E4" s="452" t="s">
        <v>190</v>
      </c>
      <c r="F4" s="452"/>
    </row>
    <row r="5" spans="1:6" ht="24.6" x14ac:dyDescent="0.25">
      <c r="A5" s="451"/>
      <c r="B5" s="451"/>
      <c r="C5" s="451"/>
      <c r="E5" s="452" t="s">
        <v>146</v>
      </c>
      <c r="F5" s="452"/>
    </row>
    <row r="6" spans="1:6" ht="23.4" x14ac:dyDescent="0.25">
      <c r="A6" s="455" t="s">
        <v>191</v>
      </c>
      <c r="B6" s="455"/>
      <c r="C6" s="455"/>
      <c r="D6" s="455"/>
      <c r="E6" s="455"/>
      <c r="F6" s="455"/>
    </row>
    <row r="7" spans="1:6" x14ac:dyDescent="0.25">
      <c r="A7" s="342" t="str">
        <f>[1]TBsalary!A7</f>
        <v>ປະຈຳເດືອນ ສິງຫາ (08) 2026</v>
      </c>
      <c r="B7" s="342"/>
      <c r="C7" s="342"/>
      <c r="D7" s="342"/>
      <c r="E7" s="342"/>
      <c r="F7" s="342"/>
    </row>
    <row r="8" spans="1:6" hidden="1" x14ac:dyDescent="0.25">
      <c r="A8" s="18"/>
    </row>
    <row r="9" spans="1:6" x14ac:dyDescent="0.25">
      <c r="A9" s="456" t="s">
        <v>3</v>
      </c>
      <c r="B9" s="456" t="s">
        <v>4</v>
      </c>
      <c r="C9" s="345" t="s">
        <v>188</v>
      </c>
      <c r="D9" s="460" t="s">
        <v>192</v>
      </c>
      <c r="E9" s="463" t="s">
        <v>193</v>
      </c>
      <c r="F9" s="464" t="s">
        <v>160</v>
      </c>
    </row>
    <row r="10" spans="1:6" s="18" customFormat="1" x14ac:dyDescent="0.25">
      <c r="A10" s="457"/>
      <c r="B10" s="457"/>
      <c r="C10" s="459"/>
      <c r="D10" s="461"/>
      <c r="E10" s="463"/>
      <c r="F10" s="464"/>
    </row>
    <row r="11" spans="1:6" s="18" customFormat="1" x14ac:dyDescent="0.25">
      <c r="A11" s="458"/>
      <c r="B11" s="458"/>
      <c r="C11" s="346"/>
      <c r="D11" s="462"/>
      <c r="E11" s="463"/>
      <c r="F11" s="464"/>
    </row>
    <row r="12" spans="1:6" s="18" customFormat="1" x14ac:dyDescent="0.25">
      <c r="A12" s="214">
        <v>1</v>
      </c>
      <c r="B12" s="215" t="s">
        <v>194</v>
      </c>
      <c r="C12" s="216">
        <f>[1]PBKK!E15</f>
        <v>44431060.520000003</v>
      </c>
      <c r="D12" s="216">
        <f>[1]TBsalary!Q12</f>
        <v>677.14</v>
      </c>
      <c r="E12" s="217">
        <f>[1]PBKK!G15</f>
        <v>65615.767079185985</v>
      </c>
      <c r="F12" s="85" t="s">
        <v>162</v>
      </c>
    </row>
    <row r="13" spans="1:6" s="18" customFormat="1" x14ac:dyDescent="0.25">
      <c r="A13" s="214">
        <v>2</v>
      </c>
      <c r="B13" s="218" t="s">
        <v>195</v>
      </c>
      <c r="C13" s="219">
        <f>[1]PHAN!E14</f>
        <v>27995837.030000001</v>
      </c>
      <c r="D13" s="220">
        <f>[1]for!H27</f>
        <v>22324</v>
      </c>
      <c r="E13" s="220">
        <f>+[1]PHAN!G14</f>
        <v>1254.0700000000002</v>
      </c>
      <c r="F13" s="85" t="s">
        <v>164</v>
      </c>
    </row>
    <row r="14" spans="1:6" s="18" customFormat="1" x14ac:dyDescent="0.25">
      <c r="A14" s="214">
        <v>3</v>
      </c>
      <c r="B14" s="221" t="s">
        <v>165</v>
      </c>
      <c r="C14" s="222">
        <f>[1]PICN!E14</f>
        <v>80466655.120000005</v>
      </c>
      <c r="D14" s="223">
        <f>[1]for!H27</f>
        <v>22324</v>
      </c>
      <c r="E14" s="220">
        <f>+[1]PICN!G14</f>
        <v>3604.49</v>
      </c>
      <c r="F14" s="85" t="s">
        <v>164</v>
      </c>
    </row>
    <row r="15" spans="1:6" s="18" customFormat="1" x14ac:dyDescent="0.25">
      <c r="A15" s="214">
        <v>4</v>
      </c>
      <c r="B15" s="1" t="s">
        <v>196</v>
      </c>
      <c r="C15" s="224">
        <f>[1]PKMG!E13</f>
        <v>16761986.25</v>
      </c>
      <c r="D15" s="224">
        <f>[1]for!H35</f>
        <v>3284</v>
      </c>
      <c r="E15" s="220">
        <f>+[1]PKMG!G13</f>
        <v>5104.1400000000003</v>
      </c>
      <c r="F15" s="85" t="s">
        <v>166</v>
      </c>
    </row>
    <row r="16" spans="1:6" s="18" customFormat="1" x14ac:dyDescent="0.25">
      <c r="A16" s="214">
        <v>5</v>
      </c>
      <c r="B16" s="215" t="s">
        <v>197</v>
      </c>
      <c r="C16" s="225">
        <f>[1]PCAN!E14</f>
        <v>34219131.57</v>
      </c>
      <c r="D16" s="225">
        <f>[1]for!H35</f>
        <v>3284</v>
      </c>
      <c r="E16" s="220">
        <f>+C16/D16</f>
        <v>10419.954802070646</v>
      </c>
      <c r="F16" s="85" t="s">
        <v>166</v>
      </c>
    </row>
    <row r="17" spans="1:6" s="40" customFormat="1" x14ac:dyDescent="0.25">
      <c r="A17" s="51"/>
      <c r="B17" s="46" t="s">
        <v>19</v>
      </c>
      <c r="C17" s="226">
        <f>SUM(C12:C16)</f>
        <v>203874670.49000001</v>
      </c>
      <c r="D17" s="227"/>
      <c r="E17" s="228"/>
      <c r="F17" s="51"/>
    </row>
    <row r="18" spans="1:6" x14ac:dyDescent="0.25">
      <c r="D18" s="454"/>
      <c r="E18" s="454"/>
    </row>
  </sheetData>
  <mergeCells count="16">
    <mergeCell ref="D18:E18"/>
    <mergeCell ref="A6:F6"/>
    <mergeCell ref="A7:F7"/>
    <mergeCell ref="A9:A11"/>
    <mergeCell ref="B9:B11"/>
    <mergeCell ref="C9:C11"/>
    <mergeCell ref="D9:D11"/>
    <mergeCell ref="E9:E11"/>
    <mergeCell ref="F9:F11"/>
    <mergeCell ref="A5:C5"/>
    <mergeCell ref="E5:F5"/>
    <mergeCell ref="A1:F1"/>
    <mergeCell ref="A2:F2"/>
    <mergeCell ref="A3:B3"/>
    <mergeCell ref="A4:B4"/>
    <mergeCell ref="E4:F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F9C61-BB5C-4507-952F-00D911F29BF0}">
  <sheetPr>
    <tabColor rgb="FF00B050"/>
  </sheetPr>
  <dimension ref="A1:AA20"/>
  <sheetViews>
    <sheetView workbookViewId="0">
      <selection activeCell="L25" sqref="L25"/>
    </sheetView>
  </sheetViews>
  <sheetFormatPr defaultColWidth="11.44140625" defaultRowHeight="19.8" x14ac:dyDescent="0.25"/>
  <cols>
    <col min="1" max="1" width="5.44140625" style="165" bestFit="1" customWidth="1"/>
    <col min="2" max="2" width="23.5546875" style="165" bestFit="1" customWidth="1"/>
    <col min="3" max="3" width="24.109375" style="165" bestFit="1" customWidth="1"/>
    <col min="4" max="4" width="17.109375" style="165" hidden="1" customWidth="1"/>
    <col min="5" max="5" width="18.5546875" style="165" hidden="1" customWidth="1"/>
    <col min="6" max="6" width="31" style="165" hidden="1" customWidth="1"/>
    <col min="7" max="7" width="27.109375" style="165" hidden="1" customWidth="1"/>
    <col min="8" max="8" width="18" style="165" bestFit="1" customWidth="1"/>
    <col min="9" max="9" width="7.88671875" style="165" bestFit="1" customWidth="1"/>
    <col min="10" max="10" width="8.6640625" style="165" bestFit="1" customWidth="1"/>
    <col min="11" max="11" width="13.33203125" style="165" customWidth="1"/>
    <col min="12" max="12" width="17" style="165" bestFit="1" customWidth="1"/>
    <col min="13" max="13" width="18" style="165" bestFit="1" customWidth="1"/>
    <col min="14" max="14" width="20.44140625" style="165" bestFit="1" customWidth="1"/>
    <col min="15" max="15" width="18.109375" style="165" bestFit="1" customWidth="1"/>
    <col min="16" max="16" width="19" style="165" customWidth="1"/>
    <col min="17" max="17" width="18.88671875" style="165" bestFit="1" customWidth="1"/>
    <col min="18" max="18" width="22.109375" style="165" bestFit="1" customWidth="1"/>
    <col min="19" max="19" width="22.44140625" style="165" bestFit="1" customWidth="1"/>
    <col min="20" max="20" width="16.33203125" style="165" bestFit="1" customWidth="1"/>
    <col min="21" max="21" width="20.109375" style="164" bestFit="1" customWidth="1"/>
    <col min="22" max="22" width="21.88671875" style="165" bestFit="1" customWidth="1"/>
    <col min="23" max="23" width="15.109375" style="165" bestFit="1" customWidth="1"/>
    <col min="24" max="24" width="14.88671875" style="164" bestFit="1" customWidth="1"/>
    <col min="25" max="25" width="11" style="165" bestFit="1" customWidth="1"/>
    <col min="26" max="26" width="9.6640625" style="165" bestFit="1" customWidth="1"/>
    <col min="27" max="27" width="27.109375" style="165" bestFit="1" customWidth="1"/>
    <col min="28" max="28" width="16.88671875" style="165" customWidth="1"/>
    <col min="29" max="29" width="11.44140625" style="165"/>
    <col min="30" max="30" width="18.88671875" style="165" customWidth="1"/>
    <col min="31" max="31" width="16.109375" style="165" customWidth="1"/>
    <col min="32" max="260" width="11.44140625" style="165"/>
    <col min="261" max="261" width="5.6640625" style="165" customWidth="1"/>
    <col min="262" max="262" width="27.109375" style="165" customWidth="1"/>
    <col min="263" max="263" width="19.88671875" style="165" customWidth="1"/>
    <col min="264" max="265" width="0" style="165" hidden="1" customWidth="1"/>
    <col min="266" max="266" width="14.6640625" style="165" customWidth="1"/>
    <col min="267" max="267" width="13.44140625" style="165" customWidth="1"/>
    <col min="268" max="268" width="14.5546875" style="165" customWidth="1"/>
    <col min="269" max="269" width="0" style="165" hidden="1" customWidth="1"/>
    <col min="270" max="270" width="18.44140625" style="165" customWidth="1"/>
    <col min="271" max="271" width="17" style="165" customWidth="1"/>
    <col min="272" max="272" width="13.6640625" style="165" customWidth="1"/>
    <col min="273" max="273" width="11.88671875" style="165" customWidth="1"/>
    <col min="274" max="274" width="0" style="165" hidden="1" customWidth="1"/>
    <col min="275" max="275" width="14.5546875" style="165" customWidth="1"/>
    <col min="276" max="276" width="11.5546875" style="165" customWidth="1"/>
    <col min="277" max="277" width="14.33203125" style="165" customWidth="1"/>
    <col min="278" max="278" width="22.33203125" style="165" customWidth="1"/>
    <col min="279" max="279" width="14.6640625" style="165" customWidth="1"/>
    <col min="280" max="280" width="13.5546875" style="165" customWidth="1"/>
    <col min="281" max="281" width="15.44140625" style="165" customWidth="1"/>
    <col min="282" max="284" width="16.88671875" style="165" customWidth="1"/>
    <col min="285" max="285" width="11.44140625" style="165"/>
    <col min="286" max="286" width="18.88671875" style="165" customWidth="1"/>
    <col min="287" max="287" width="16.109375" style="165" customWidth="1"/>
    <col min="288" max="516" width="11.44140625" style="165"/>
    <col min="517" max="517" width="5.6640625" style="165" customWidth="1"/>
    <col min="518" max="518" width="27.109375" style="165" customWidth="1"/>
    <col min="519" max="519" width="19.88671875" style="165" customWidth="1"/>
    <col min="520" max="521" width="0" style="165" hidden="1" customWidth="1"/>
    <col min="522" max="522" width="14.6640625" style="165" customWidth="1"/>
    <col min="523" max="523" width="13.44140625" style="165" customWidth="1"/>
    <col min="524" max="524" width="14.5546875" style="165" customWidth="1"/>
    <col min="525" max="525" width="0" style="165" hidden="1" customWidth="1"/>
    <col min="526" max="526" width="18.44140625" style="165" customWidth="1"/>
    <col min="527" max="527" width="17" style="165" customWidth="1"/>
    <col min="528" max="528" width="13.6640625" style="165" customWidth="1"/>
    <col min="529" max="529" width="11.88671875" style="165" customWidth="1"/>
    <col min="530" max="530" width="0" style="165" hidden="1" customWidth="1"/>
    <col min="531" max="531" width="14.5546875" style="165" customWidth="1"/>
    <col min="532" max="532" width="11.5546875" style="165" customWidth="1"/>
    <col min="533" max="533" width="14.33203125" style="165" customWidth="1"/>
    <col min="534" max="534" width="22.33203125" style="165" customWidth="1"/>
    <col min="535" max="535" width="14.6640625" style="165" customWidth="1"/>
    <col min="536" max="536" width="13.5546875" style="165" customWidth="1"/>
    <col min="537" max="537" width="15.44140625" style="165" customWidth="1"/>
    <col min="538" max="540" width="16.88671875" style="165" customWidth="1"/>
    <col min="541" max="541" width="11.44140625" style="165"/>
    <col min="542" max="542" width="18.88671875" style="165" customWidth="1"/>
    <col min="543" max="543" width="16.109375" style="165" customWidth="1"/>
    <col min="544" max="772" width="11.44140625" style="165"/>
    <col min="773" max="773" width="5.6640625" style="165" customWidth="1"/>
    <col min="774" max="774" width="27.109375" style="165" customWidth="1"/>
    <col min="775" max="775" width="19.88671875" style="165" customWidth="1"/>
    <col min="776" max="777" width="0" style="165" hidden="1" customWidth="1"/>
    <col min="778" max="778" width="14.6640625" style="165" customWidth="1"/>
    <col min="779" max="779" width="13.44140625" style="165" customWidth="1"/>
    <col min="780" max="780" width="14.5546875" style="165" customWidth="1"/>
    <col min="781" max="781" width="0" style="165" hidden="1" customWidth="1"/>
    <col min="782" max="782" width="18.44140625" style="165" customWidth="1"/>
    <col min="783" max="783" width="17" style="165" customWidth="1"/>
    <col min="784" max="784" width="13.6640625" style="165" customWidth="1"/>
    <col min="785" max="785" width="11.88671875" style="165" customWidth="1"/>
    <col min="786" max="786" width="0" style="165" hidden="1" customWidth="1"/>
    <col min="787" max="787" width="14.5546875" style="165" customWidth="1"/>
    <col min="788" max="788" width="11.5546875" style="165" customWidth="1"/>
    <col min="789" max="789" width="14.33203125" style="165" customWidth="1"/>
    <col min="790" max="790" width="22.33203125" style="165" customWidth="1"/>
    <col min="791" max="791" width="14.6640625" style="165" customWidth="1"/>
    <col min="792" max="792" width="13.5546875" style="165" customWidth="1"/>
    <col min="793" max="793" width="15.44140625" style="165" customWidth="1"/>
    <col min="794" max="796" width="16.88671875" style="165" customWidth="1"/>
    <col min="797" max="797" width="11.44140625" style="165"/>
    <col min="798" max="798" width="18.88671875" style="165" customWidth="1"/>
    <col min="799" max="799" width="16.109375" style="165" customWidth="1"/>
    <col min="800" max="1028" width="11.44140625" style="165"/>
    <col min="1029" max="1029" width="5.6640625" style="165" customWidth="1"/>
    <col min="1030" max="1030" width="27.109375" style="165" customWidth="1"/>
    <col min="1031" max="1031" width="19.88671875" style="165" customWidth="1"/>
    <col min="1032" max="1033" width="0" style="165" hidden="1" customWidth="1"/>
    <col min="1034" max="1034" width="14.6640625" style="165" customWidth="1"/>
    <col min="1035" max="1035" width="13.44140625" style="165" customWidth="1"/>
    <col min="1036" max="1036" width="14.5546875" style="165" customWidth="1"/>
    <col min="1037" max="1037" width="0" style="165" hidden="1" customWidth="1"/>
    <col min="1038" max="1038" width="18.44140625" style="165" customWidth="1"/>
    <col min="1039" max="1039" width="17" style="165" customWidth="1"/>
    <col min="1040" max="1040" width="13.6640625" style="165" customWidth="1"/>
    <col min="1041" max="1041" width="11.88671875" style="165" customWidth="1"/>
    <col min="1042" max="1042" width="0" style="165" hidden="1" customWidth="1"/>
    <col min="1043" max="1043" width="14.5546875" style="165" customWidth="1"/>
    <col min="1044" max="1044" width="11.5546875" style="165" customWidth="1"/>
    <col min="1045" max="1045" width="14.33203125" style="165" customWidth="1"/>
    <col min="1046" max="1046" width="22.33203125" style="165" customWidth="1"/>
    <col min="1047" max="1047" width="14.6640625" style="165" customWidth="1"/>
    <col min="1048" max="1048" width="13.5546875" style="165" customWidth="1"/>
    <col min="1049" max="1049" width="15.44140625" style="165" customWidth="1"/>
    <col min="1050" max="1052" width="16.88671875" style="165" customWidth="1"/>
    <col min="1053" max="1053" width="11.44140625" style="165"/>
    <col min="1054" max="1054" width="18.88671875" style="165" customWidth="1"/>
    <col min="1055" max="1055" width="16.109375" style="165" customWidth="1"/>
    <col min="1056" max="1284" width="11.44140625" style="165"/>
    <col min="1285" max="1285" width="5.6640625" style="165" customWidth="1"/>
    <col min="1286" max="1286" width="27.109375" style="165" customWidth="1"/>
    <col min="1287" max="1287" width="19.88671875" style="165" customWidth="1"/>
    <col min="1288" max="1289" width="0" style="165" hidden="1" customWidth="1"/>
    <col min="1290" max="1290" width="14.6640625" style="165" customWidth="1"/>
    <col min="1291" max="1291" width="13.44140625" style="165" customWidth="1"/>
    <col min="1292" max="1292" width="14.5546875" style="165" customWidth="1"/>
    <col min="1293" max="1293" width="0" style="165" hidden="1" customWidth="1"/>
    <col min="1294" max="1294" width="18.44140625" style="165" customWidth="1"/>
    <col min="1295" max="1295" width="17" style="165" customWidth="1"/>
    <col min="1296" max="1296" width="13.6640625" style="165" customWidth="1"/>
    <col min="1297" max="1297" width="11.88671875" style="165" customWidth="1"/>
    <col min="1298" max="1298" width="0" style="165" hidden="1" customWidth="1"/>
    <col min="1299" max="1299" width="14.5546875" style="165" customWidth="1"/>
    <col min="1300" max="1300" width="11.5546875" style="165" customWidth="1"/>
    <col min="1301" max="1301" width="14.33203125" style="165" customWidth="1"/>
    <col min="1302" max="1302" width="22.33203125" style="165" customWidth="1"/>
    <col min="1303" max="1303" width="14.6640625" style="165" customWidth="1"/>
    <col min="1304" max="1304" width="13.5546875" style="165" customWidth="1"/>
    <col min="1305" max="1305" width="15.44140625" style="165" customWidth="1"/>
    <col min="1306" max="1308" width="16.88671875" style="165" customWidth="1"/>
    <col min="1309" max="1309" width="11.44140625" style="165"/>
    <col min="1310" max="1310" width="18.88671875" style="165" customWidth="1"/>
    <col min="1311" max="1311" width="16.109375" style="165" customWidth="1"/>
    <col min="1312" max="1540" width="11.44140625" style="165"/>
    <col min="1541" max="1541" width="5.6640625" style="165" customWidth="1"/>
    <col min="1542" max="1542" width="27.109375" style="165" customWidth="1"/>
    <col min="1543" max="1543" width="19.88671875" style="165" customWidth="1"/>
    <col min="1544" max="1545" width="0" style="165" hidden="1" customWidth="1"/>
    <col min="1546" max="1546" width="14.6640625" style="165" customWidth="1"/>
    <col min="1547" max="1547" width="13.44140625" style="165" customWidth="1"/>
    <col min="1548" max="1548" width="14.5546875" style="165" customWidth="1"/>
    <col min="1549" max="1549" width="0" style="165" hidden="1" customWidth="1"/>
    <col min="1550" max="1550" width="18.44140625" style="165" customWidth="1"/>
    <col min="1551" max="1551" width="17" style="165" customWidth="1"/>
    <col min="1552" max="1552" width="13.6640625" style="165" customWidth="1"/>
    <col min="1553" max="1553" width="11.88671875" style="165" customWidth="1"/>
    <col min="1554" max="1554" width="0" style="165" hidden="1" customWidth="1"/>
    <col min="1555" max="1555" width="14.5546875" style="165" customWidth="1"/>
    <col min="1556" max="1556" width="11.5546875" style="165" customWidth="1"/>
    <col min="1557" max="1557" width="14.33203125" style="165" customWidth="1"/>
    <col min="1558" max="1558" width="22.33203125" style="165" customWidth="1"/>
    <col min="1559" max="1559" width="14.6640625" style="165" customWidth="1"/>
    <col min="1560" max="1560" width="13.5546875" style="165" customWidth="1"/>
    <col min="1561" max="1561" width="15.44140625" style="165" customWidth="1"/>
    <col min="1562" max="1564" width="16.88671875" style="165" customWidth="1"/>
    <col min="1565" max="1565" width="11.44140625" style="165"/>
    <col min="1566" max="1566" width="18.88671875" style="165" customWidth="1"/>
    <col min="1567" max="1567" width="16.109375" style="165" customWidth="1"/>
    <col min="1568" max="1796" width="11.44140625" style="165"/>
    <col min="1797" max="1797" width="5.6640625" style="165" customWidth="1"/>
    <col min="1798" max="1798" width="27.109375" style="165" customWidth="1"/>
    <col min="1799" max="1799" width="19.88671875" style="165" customWidth="1"/>
    <col min="1800" max="1801" width="0" style="165" hidden="1" customWidth="1"/>
    <col min="1802" max="1802" width="14.6640625" style="165" customWidth="1"/>
    <col min="1803" max="1803" width="13.44140625" style="165" customWidth="1"/>
    <col min="1804" max="1804" width="14.5546875" style="165" customWidth="1"/>
    <col min="1805" max="1805" width="0" style="165" hidden="1" customWidth="1"/>
    <col min="1806" max="1806" width="18.44140625" style="165" customWidth="1"/>
    <col min="1807" max="1807" width="17" style="165" customWidth="1"/>
    <col min="1808" max="1808" width="13.6640625" style="165" customWidth="1"/>
    <col min="1809" max="1809" width="11.88671875" style="165" customWidth="1"/>
    <col min="1810" max="1810" width="0" style="165" hidden="1" customWidth="1"/>
    <col min="1811" max="1811" width="14.5546875" style="165" customWidth="1"/>
    <col min="1812" max="1812" width="11.5546875" style="165" customWidth="1"/>
    <col min="1813" max="1813" width="14.33203125" style="165" customWidth="1"/>
    <col min="1814" max="1814" width="22.33203125" style="165" customWidth="1"/>
    <col min="1815" max="1815" width="14.6640625" style="165" customWidth="1"/>
    <col min="1816" max="1816" width="13.5546875" style="165" customWidth="1"/>
    <col min="1817" max="1817" width="15.44140625" style="165" customWidth="1"/>
    <col min="1818" max="1820" width="16.88671875" style="165" customWidth="1"/>
    <col min="1821" max="1821" width="11.44140625" style="165"/>
    <col min="1822" max="1822" width="18.88671875" style="165" customWidth="1"/>
    <col min="1823" max="1823" width="16.109375" style="165" customWidth="1"/>
    <col min="1824" max="2052" width="11.44140625" style="165"/>
    <col min="2053" max="2053" width="5.6640625" style="165" customWidth="1"/>
    <col min="2054" max="2054" width="27.109375" style="165" customWidth="1"/>
    <col min="2055" max="2055" width="19.88671875" style="165" customWidth="1"/>
    <col min="2056" max="2057" width="0" style="165" hidden="1" customWidth="1"/>
    <col min="2058" max="2058" width="14.6640625" style="165" customWidth="1"/>
    <col min="2059" max="2059" width="13.44140625" style="165" customWidth="1"/>
    <col min="2060" max="2060" width="14.5546875" style="165" customWidth="1"/>
    <col min="2061" max="2061" width="0" style="165" hidden="1" customWidth="1"/>
    <col min="2062" max="2062" width="18.44140625" style="165" customWidth="1"/>
    <col min="2063" max="2063" width="17" style="165" customWidth="1"/>
    <col min="2064" max="2064" width="13.6640625" style="165" customWidth="1"/>
    <col min="2065" max="2065" width="11.88671875" style="165" customWidth="1"/>
    <col min="2066" max="2066" width="0" style="165" hidden="1" customWidth="1"/>
    <col min="2067" max="2067" width="14.5546875" style="165" customWidth="1"/>
    <col min="2068" max="2068" width="11.5546875" style="165" customWidth="1"/>
    <col min="2069" max="2069" width="14.33203125" style="165" customWidth="1"/>
    <col min="2070" max="2070" width="22.33203125" style="165" customWidth="1"/>
    <col min="2071" max="2071" width="14.6640625" style="165" customWidth="1"/>
    <col min="2072" max="2072" width="13.5546875" style="165" customWidth="1"/>
    <col min="2073" max="2073" width="15.44140625" style="165" customWidth="1"/>
    <col min="2074" max="2076" width="16.88671875" style="165" customWidth="1"/>
    <col min="2077" max="2077" width="11.44140625" style="165"/>
    <col min="2078" max="2078" width="18.88671875" style="165" customWidth="1"/>
    <col min="2079" max="2079" width="16.109375" style="165" customWidth="1"/>
    <col min="2080" max="2308" width="11.44140625" style="165"/>
    <col min="2309" max="2309" width="5.6640625" style="165" customWidth="1"/>
    <col min="2310" max="2310" width="27.109375" style="165" customWidth="1"/>
    <col min="2311" max="2311" width="19.88671875" style="165" customWidth="1"/>
    <col min="2312" max="2313" width="0" style="165" hidden="1" customWidth="1"/>
    <col min="2314" max="2314" width="14.6640625" style="165" customWidth="1"/>
    <col min="2315" max="2315" width="13.44140625" style="165" customWidth="1"/>
    <col min="2316" max="2316" width="14.5546875" style="165" customWidth="1"/>
    <col min="2317" max="2317" width="0" style="165" hidden="1" customWidth="1"/>
    <col min="2318" max="2318" width="18.44140625" style="165" customWidth="1"/>
    <col min="2319" max="2319" width="17" style="165" customWidth="1"/>
    <col min="2320" max="2320" width="13.6640625" style="165" customWidth="1"/>
    <col min="2321" max="2321" width="11.88671875" style="165" customWidth="1"/>
    <col min="2322" max="2322" width="0" style="165" hidden="1" customWidth="1"/>
    <col min="2323" max="2323" width="14.5546875" style="165" customWidth="1"/>
    <col min="2324" max="2324" width="11.5546875" style="165" customWidth="1"/>
    <col min="2325" max="2325" width="14.33203125" style="165" customWidth="1"/>
    <col min="2326" max="2326" width="22.33203125" style="165" customWidth="1"/>
    <col min="2327" max="2327" width="14.6640625" style="165" customWidth="1"/>
    <col min="2328" max="2328" width="13.5546875" style="165" customWidth="1"/>
    <col min="2329" max="2329" width="15.44140625" style="165" customWidth="1"/>
    <col min="2330" max="2332" width="16.88671875" style="165" customWidth="1"/>
    <col min="2333" max="2333" width="11.44140625" style="165"/>
    <col min="2334" max="2334" width="18.88671875" style="165" customWidth="1"/>
    <col min="2335" max="2335" width="16.109375" style="165" customWidth="1"/>
    <col min="2336" max="2564" width="11.44140625" style="165"/>
    <col min="2565" max="2565" width="5.6640625" style="165" customWidth="1"/>
    <col min="2566" max="2566" width="27.109375" style="165" customWidth="1"/>
    <col min="2567" max="2567" width="19.88671875" style="165" customWidth="1"/>
    <col min="2568" max="2569" width="0" style="165" hidden="1" customWidth="1"/>
    <col min="2570" max="2570" width="14.6640625" style="165" customWidth="1"/>
    <col min="2571" max="2571" width="13.44140625" style="165" customWidth="1"/>
    <col min="2572" max="2572" width="14.5546875" style="165" customWidth="1"/>
    <col min="2573" max="2573" width="0" style="165" hidden="1" customWidth="1"/>
    <col min="2574" max="2574" width="18.44140625" style="165" customWidth="1"/>
    <col min="2575" max="2575" width="17" style="165" customWidth="1"/>
    <col min="2576" max="2576" width="13.6640625" style="165" customWidth="1"/>
    <col min="2577" max="2577" width="11.88671875" style="165" customWidth="1"/>
    <col min="2578" max="2578" width="0" style="165" hidden="1" customWidth="1"/>
    <col min="2579" max="2579" width="14.5546875" style="165" customWidth="1"/>
    <col min="2580" max="2580" width="11.5546875" style="165" customWidth="1"/>
    <col min="2581" max="2581" width="14.33203125" style="165" customWidth="1"/>
    <col min="2582" max="2582" width="22.33203125" style="165" customWidth="1"/>
    <col min="2583" max="2583" width="14.6640625" style="165" customWidth="1"/>
    <col min="2584" max="2584" width="13.5546875" style="165" customWidth="1"/>
    <col min="2585" max="2585" width="15.44140625" style="165" customWidth="1"/>
    <col min="2586" max="2588" width="16.88671875" style="165" customWidth="1"/>
    <col min="2589" max="2589" width="11.44140625" style="165"/>
    <col min="2590" max="2590" width="18.88671875" style="165" customWidth="1"/>
    <col min="2591" max="2591" width="16.109375" style="165" customWidth="1"/>
    <col min="2592" max="2820" width="11.44140625" style="165"/>
    <col min="2821" max="2821" width="5.6640625" style="165" customWidth="1"/>
    <col min="2822" max="2822" width="27.109375" style="165" customWidth="1"/>
    <col min="2823" max="2823" width="19.88671875" style="165" customWidth="1"/>
    <col min="2824" max="2825" width="0" style="165" hidden="1" customWidth="1"/>
    <col min="2826" max="2826" width="14.6640625" style="165" customWidth="1"/>
    <col min="2827" max="2827" width="13.44140625" style="165" customWidth="1"/>
    <col min="2828" max="2828" width="14.5546875" style="165" customWidth="1"/>
    <col min="2829" max="2829" width="0" style="165" hidden="1" customWidth="1"/>
    <col min="2830" max="2830" width="18.44140625" style="165" customWidth="1"/>
    <col min="2831" max="2831" width="17" style="165" customWidth="1"/>
    <col min="2832" max="2832" width="13.6640625" style="165" customWidth="1"/>
    <col min="2833" max="2833" width="11.88671875" style="165" customWidth="1"/>
    <col min="2834" max="2834" width="0" style="165" hidden="1" customWidth="1"/>
    <col min="2835" max="2835" width="14.5546875" style="165" customWidth="1"/>
    <col min="2836" max="2836" width="11.5546875" style="165" customWidth="1"/>
    <col min="2837" max="2837" width="14.33203125" style="165" customWidth="1"/>
    <col min="2838" max="2838" width="22.33203125" style="165" customWidth="1"/>
    <col min="2839" max="2839" width="14.6640625" style="165" customWidth="1"/>
    <col min="2840" max="2840" width="13.5546875" style="165" customWidth="1"/>
    <col min="2841" max="2841" width="15.44140625" style="165" customWidth="1"/>
    <col min="2842" max="2844" width="16.88671875" style="165" customWidth="1"/>
    <col min="2845" max="2845" width="11.44140625" style="165"/>
    <col min="2846" max="2846" width="18.88671875" style="165" customWidth="1"/>
    <col min="2847" max="2847" width="16.109375" style="165" customWidth="1"/>
    <col min="2848" max="3076" width="11.44140625" style="165"/>
    <col min="3077" max="3077" width="5.6640625" style="165" customWidth="1"/>
    <col min="3078" max="3078" width="27.109375" style="165" customWidth="1"/>
    <col min="3079" max="3079" width="19.88671875" style="165" customWidth="1"/>
    <col min="3080" max="3081" width="0" style="165" hidden="1" customWidth="1"/>
    <col min="3082" max="3082" width="14.6640625" style="165" customWidth="1"/>
    <col min="3083" max="3083" width="13.44140625" style="165" customWidth="1"/>
    <col min="3084" max="3084" width="14.5546875" style="165" customWidth="1"/>
    <col min="3085" max="3085" width="0" style="165" hidden="1" customWidth="1"/>
    <col min="3086" max="3086" width="18.44140625" style="165" customWidth="1"/>
    <col min="3087" max="3087" width="17" style="165" customWidth="1"/>
    <col min="3088" max="3088" width="13.6640625" style="165" customWidth="1"/>
    <col min="3089" max="3089" width="11.88671875" style="165" customWidth="1"/>
    <col min="3090" max="3090" width="0" style="165" hidden="1" customWidth="1"/>
    <col min="3091" max="3091" width="14.5546875" style="165" customWidth="1"/>
    <col min="3092" max="3092" width="11.5546875" style="165" customWidth="1"/>
    <col min="3093" max="3093" width="14.33203125" style="165" customWidth="1"/>
    <col min="3094" max="3094" width="22.33203125" style="165" customWidth="1"/>
    <col min="3095" max="3095" width="14.6640625" style="165" customWidth="1"/>
    <col min="3096" max="3096" width="13.5546875" style="165" customWidth="1"/>
    <col min="3097" max="3097" width="15.44140625" style="165" customWidth="1"/>
    <col min="3098" max="3100" width="16.88671875" style="165" customWidth="1"/>
    <col min="3101" max="3101" width="11.44140625" style="165"/>
    <col min="3102" max="3102" width="18.88671875" style="165" customWidth="1"/>
    <col min="3103" max="3103" width="16.109375" style="165" customWidth="1"/>
    <col min="3104" max="3332" width="11.44140625" style="165"/>
    <col min="3333" max="3333" width="5.6640625" style="165" customWidth="1"/>
    <col min="3334" max="3334" width="27.109375" style="165" customWidth="1"/>
    <col min="3335" max="3335" width="19.88671875" style="165" customWidth="1"/>
    <col min="3336" max="3337" width="0" style="165" hidden="1" customWidth="1"/>
    <col min="3338" max="3338" width="14.6640625" style="165" customWidth="1"/>
    <col min="3339" max="3339" width="13.44140625" style="165" customWidth="1"/>
    <col min="3340" max="3340" width="14.5546875" style="165" customWidth="1"/>
    <col min="3341" max="3341" width="0" style="165" hidden="1" customWidth="1"/>
    <col min="3342" max="3342" width="18.44140625" style="165" customWidth="1"/>
    <col min="3343" max="3343" width="17" style="165" customWidth="1"/>
    <col min="3344" max="3344" width="13.6640625" style="165" customWidth="1"/>
    <col min="3345" max="3345" width="11.88671875" style="165" customWidth="1"/>
    <col min="3346" max="3346" width="0" style="165" hidden="1" customWidth="1"/>
    <col min="3347" max="3347" width="14.5546875" style="165" customWidth="1"/>
    <col min="3348" max="3348" width="11.5546875" style="165" customWidth="1"/>
    <col min="3349" max="3349" width="14.33203125" style="165" customWidth="1"/>
    <col min="3350" max="3350" width="22.33203125" style="165" customWidth="1"/>
    <col min="3351" max="3351" width="14.6640625" style="165" customWidth="1"/>
    <col min="3352" max="3352" width="13.5546875" style="165" customWidth="1"/>
    <col min="3353" max="3353" width="15.44140625" style="165" customWidth="1"/>
    <col min="3354" max="3356" width="16.88671875" style="165" customWidth="1"/>
    <col min="3357" max="3357" width="11.44140625" style="165"/>
    <col min="3358" max="3358" width="18.88671875" style="165" customWidth="1"/>
    <col min="3359" max="3359" width="16.109375" style="165" customWidth="1"/>
    <col min="3360" max="3588" width="11.44140625" style="165"/>
    <col min="3589" max="3589" width="5.6640625" style="165" customWidth="1"/>
    <col min="3590" max="3590" width="27.109375" style="165" customWidth="1"/>
    <col min="3591" max="3591" width="19.88671875" style="165" customWidth="1"/>
    <col min="3592" max="3593" width="0" style="165" hidden="1" customWidth="1"/>
    <col min="3594" max="3594" width="14.6640625" style="165" customWidth="1"/>
    <col min="3595" max="3595" width="13.44140625" style="165" customWidth="1"/>
    <col min="3596" max="3596" width="14.5546875" style="165" customWidth="1"/>
    <col min="3597" max="3597" width="0" style="165" hidden="1" customWidth="1"/>
    <col min="3598" max="3598" width="18.44140625" style="165" customWidth="1"/>
    <col min="3599" max="3599" width="17" style="165" customWidth="1"/>
    <col min="3600" max="3600" width="13.6640625" style="165" customWidth="1"/>
    <col min="3601" max="3601" width="11.88671875" style="165" customWidth="1"/>
    <col min="3602" max="3602" width="0" style="165" hidden="1" customWidth="1"/>
    <col min="3603" max="3603" width="14.5546875" style="165" customWidth="1"/>
    <col min="3604" max="3604" width="11.5546875" style="165" customWidth="1"/>
    <col min="3605" max="3605" width="14.33203125" style="165" customWidth="1"/>
    <col min="3606" max="3606" width="22.33203125" style="165" customWidth="1"/>
    <col min="3607" max="3607" width="14.6640625" style="165" customWidth="1"/>
    <col min="3608" max="3608" width="13.5546875" style="165" customWidth="1"/>
    <col min="3609" max="3609" width="15.44140625" style="165" customWidth="1"/>
    <col min="3610" max="3612" width="16.88671875" style="165" customWidth="1"/>
    <col min="3613" max="3613" width="11.44140625" style="165"/>
    <col min="3614" max="3614" width="18.88671875" style="165" customWidth="1"/>
    <col min="3615" max="3615" width="16.109375" style="165" customWidth="1"/>
    <col min="3616" max="3844" width="11.44140625" style="165"/>
    <col min="3845" max="3845" width="5.6640625" style="165" customWidth="1"/>
    <col min="3846" max="3846" width="27.109375" style="165" customWidth="1"/>
    <col min="3847" max="3847" width="19.88671875" style="165" customWidth="1"/>
    <col min="3848" max="3849" width="0" style="165" hidden="1" customWidth="1"/>
    <col min="3850" max="3850" width="14.6640625" style="165" customWidth="1"/>
    <col min="3851" max="3851" width="13.44140625" style="165" customWidth="1"/>
    <col min="3852" max="3852" width="14.5546875" style="165" customWidth="1"/>
    <col min="3853" max="3853" width="0" style="165" hidden="1" customWidth="1"/>
    <col min="3854" max="3854" width="18.44140625" style="165" customWidth="1"/>
    <col min="3855" max="3855" width="17" style="165" customWidth="1"/>
    <col min="3856" max="3856" width="13.6640625" style="165" customWidth="1"/>
    <col min="3857" max="3857" width="11.88671875" style="165" customWidth="1"/>
    <col min="3858" max="3858" width="0" style="165" hidden="1" customWidth="1"/>
    <col min="3859" max="3859" width="14.5546875" style="165" customWidth="1"/>
    <col min="3860" max="3860" width="11.5546875" style="165" customWidth="1"/>
    <col min="3861" max="3861" width="14.33203125" style="165" customWidth="1"/>
    <col min="3862" max="3862" width="22.33203125" style="165" customWidth="1"/>
    <col min="3863" max="3863" width="14.6640625" style="165" customWidth="1"/>
    <col min="3864" max="3864" width="13.5546875" style="165" customWidth="1"/>
    <col min="3865" max="3865" width="15.44140625" style="165" customWidth="1"/>
    <col min="3866" max="3868" width="16.88671875" style="165" customWidth="1"/>
    <col min="3869" max="3869" width="11.44140625" style="165"/>
    <col min="3870" max="3870" width="18.88671875" style="165" customWidth="1"/>
    <col min="3871" max="3871" width="16.109375" style="165" customWidth="1"/>
    <col min="3872" max="4100" width="11.44140625" style="165"/>
    <col min="4101" max="4101" width="5.6640625" style="165" customWidth="1"/>
    <col min="4102" max="4102" width="27.109375" style="165" customWidth="1"/>
    <col min="4103" max="4103" width="19.88671875" style="165" customWidth="1"/>
    <col min="4104" max="4105" width="0" style="165" hidden="1" customWidth="1"/>
    <col min="4106" max="4106" width="14.6640625" style="165" customWidth="1"/>
    <col min="4107" max="4107" width="13.44140625" style="165" customWidth="1"/>
    <col min="4108" max="4108" width="14.5546875" style="165" customWidth="1"/>
    <col min="4109" max="4109" width="0" style="165" hidden="1" customWidth="1"/>
    <col min="4110" max="4110" width="18.44140625" style="165" customWidth="1"/>
    <col min="4111" max="4111" width="17" style="165" customWidth="1"/>
    <col min="4112" max="4112" width="13.6640625" style="165" customWidth="1"/>
    <col min="4113" max="4113" width="11.88671875" style="165" customWidth="1"/>
    <col min="4114" max="4114" width="0" style="165" hidden="1" customWidth="1"/>
    <col min="4115" max="4115" width="14.5546875" style="165" customWidth="1"/>
    <col min="4116" max="4116" width="11.5546875" style="165" customWidth="1"/>
    <col min="4117" max="4117" width="14.33203125" style="165" customWidth="1"/>
    <col min="4118" max="4118" width="22.33203125" style="165" customWidth="1"/>
    <col min="4119" max="4119" width="14.6640625" style="165" customWidth="1"/>
    <col min="4120" max="4120" width="13.5546875" style="165" customWidth="1"/>
    <col min="4121" max="4121" width="15.44140625" style="165" customWidth="1"/>
    <col min="4122" max="4124" width="16.88671875" style="165" customWidth="1"/>
    <col min="4125" max="4125" width="11.44140625" style="165"/>
    <col min="4126" max="4126" width="18.88671875" style="165" customWidth="1"/>
    <col min="4127" max="4127" width="16.109375" style="165" customWidth="1"/>
    <col min="4128" max="4356" width="11.44140625" style="165"/>
    <col min="4357" max="4357" width="5.6640625" style="165" customWidth="1"/>
    <col min="4358" max="4358" width="27.109375" style="165" customWidth="1"/>
    <col min="4359" max="4359" width="19.88671875" style="165" customWidth="1"/>
    <col min="4360" max="4361" width="0" style="165" hidden="1" customWidth="1"/>
    <col min="4362" max="4362" width="14.6640625" style="165" customWidth="1"/>
    <col min="4363" max="4363" width="13.44140625" style="165" customWidth="1"/>
    <col min="4364" max="4364" width="14.5546875" style="165" customWidth="1"/>
    <col min="4365" max="4365" width="0" style="165" hidden="1" customWidth="1"/>
    <col min="4366" max="4366" width="18.44140625" style="165" customWidth="1"/>
    <col min="4367" max="4367" width="17" style="165" customWidth="1"/>
    <col min="4368" max="4368" width="13.6640625" style="165" customWidth="1"/>
    <col min="4369" max="4369" width="11.88671875" style="165" customWidth="1"/>
    <col min="4370" max="4370" width="0" style="165" hidden="1" customWidth="1"/>
    <col min="4371" max="4371" width="14.5546875" style="165" customWidth="1"/>
    <col min="4372" max="4372" width="11.5546875" style="165" customWidth="1"/>
    <col min="4373" max="4373" width="14.33203125" style="165" customWidth="1"/>
    <col min="4374" max="4374" width="22.33203125" style="165" customWidth="1"/>
    <col min="4375" max="4375" width="14.6640625" style="165" customWidth="1"/>
    <col min="4376" max="4376" width="13.5546875" style="165" customWidth="1"/>
    <col min="4377" max="4377" width="15.44140625" style="165" customWidth="1"/>
    <col min="4378" max="4380" width="16.88671875" style="165" customWidth="1"/>
    <col min="4381" max="4381" width="11.44140625" style="165"/>
    <col min="4382" max="4382" width="18.88671875" style="165" customWidth="1"/>
    <col min="4383" max="4383" width="16.109375" style="165" customWidth="1"/>
    <col min="4384" max="4612" width="11.44140625" style="165"/>
    <col min="4613" max="4613" width="5.6640625" style="165" customWidth="1"/>
    <col min="4614" max="4614" width="27.109375" style="165" customWidth="1"/>
    <col min="4615" max="4615" width="19.88671875" style="165" customWidth="1"/>
    <col min="4616" max="4617" width="0" style="165" hidden="1" customWidth="1"/>
    <col min="4618" max="4618" width="14.6640625" style="165" customWidth="1"/>
    <col min="4619" max="4619" width="13.44140625" style="165" customWidth="1"/>
    <col min="4620" max="4620" width="14.5546875" style="165" customWidth="1"/>
    <col min="4621" max="4621" width="0" style="165" hidden="1" customWidth="1"/>
    <col min="4622" max="4622" width="18.44140625" style="165" customWidth="1"/>
    <col min="4623" max="4623" width="17" style="165" customWidth="1"/>
    <col min="4624" max="4624" width="13.6640625" style="165" customWidth="1"/>
    <col min="4625" max="4625" width="11.88671875" style="165" customWidth="1"/>
    <col min="4626" max="4626" width="0" style="165" hidden="1" customWidth="1"/>
    <col min="4627" max="4627" width="14.5546875" style="165" customWidth="1"/>
    <col min="4628" max="4628" width="11.5546875" style="165" customWidth="1"/>
    <col min="4629" max="4629" width="14.33203125" style="165" customWidth="1"/>
    <col min="4630" max="4630" width="22.33203125" style="165" customWidth="1"/>
    <col min="4631" max="4631" width="14.6640625" style="165" customWidth="1"/>
    <col min="4632" max="4632" width="13.5546875" style="165" customWidth="1"/>
    <col min="4633" max="4633" width="15.44140625" style="165" customWidth="1"/>
    <col min="4634" max="4636" width="16.88671875" style="165" customWidth="1"/>
    <col min="4637" max="4637" width="11.44140625" style="165"/>
    <col min="4638" max="4638" width="18.88671875" style="165" customWidth="1"/>
    <col min="4639" max="4639" width="16.109375" style="165" customWidth="1"/>
    <col min="4640" max="4868" width="11.44140625" style="165"/>
    <col min="4869" max="4869" width="5.6640625" style="165" customWidth="1"/>
    <col min="4870" max="4870" width="27.109375" style="165" customWidth="1"/>
    <col min="4871" max="4871" width="19.88671875" style="165" customWidth="1"/>
    <col min="4872" max="4873" width="0" style="165" hidden="1" customWidth="1"/>
    <col min="4874" max="4874" width="14.6640625" style="165" customWidth="1"/>
    <col min="4875" max="4875" width="13.44140625" style="165" customWidth="1"/>
    <col min="4876" max="4876" width="14.5546875" style="165" customWidth="1"/>
    <col min="4877" max="4877" width="0" style="165" hidden="1" customWidth="1"/>
    <col min="4878" max="4878" width="18.44140625" style="165" customWidth="1"/>
    <col min="4879" max="4879" width="17" style="165" customWidth="1"/>
    <col min="4880" max="4880" width="13.6640625" style="165" customWidth="1"/>
    <col min="4881" max="4881" width="11.88671875" style="165" customWidth="1"/>
    <col min="4882" max="4882" width="0" style="165" hidden="1" customWidth="1"/>
    <col min="4883" max="4883" width="14.5546875" style="165" customWidth="1"/>
    <col min="4884" max="4884" width="11.5546875" style="165" customWidth="1"/>
    <col min="4885" max="4885" width="14.33203125" style="165" customWidth="1"/>
    <col min="4886" max="4886" width="22.33203125" style="165" customWidth="1"/>
    <col min="4887" max="4887" width="14.6640625" style="165" customWidth="1"/>
    <col min="4888" max="4888" width="13.5546875" style="165" customWidth="1"/>
    <col min="4889" max="4889" width="15.44140625" style="165" customWidth="1"/>
    <col min="4890" max="4892" width="16.88671875" style="165" customWidth="1"/>
    <col min="4893" max="4893" width="11.44140625" style="165"/>
    <col min="4894" max="4894" width="18.88671875" style="165" customWidth="1"/>
    <col min="4895" max="4895" width="16.109375" style="165" customWidth="1"/>
    <col min="4896" max="5124" width="11.44140625" style="165"/>
    <col min="5125" max="5125" width="5.6640625" style="165" customWidth="1"/>
    <col min="5126" max="5126" width="27.109375" style="165" customWidth="1"/>
    <col min="5127" max="5127" width="19.88671875" style="165" customWidth="1"/>
    <col min="5128" max="5129" width="0" style="165" hidden="1" customWidth="1"/>
    <col min="5130" max="5130" width="14.6640625" style="165" customWidth="1"/>
    <col min="5131" max="5131" width="13.44140625" style="165" customWidth="1"/>
    <col min="5132" max="5132" width="14.5546875" style="165" customWidth="1"/>
    <col min="5133" max="5133" width="0" style="165" hidden="1" customWidth="1"/>
    <col min="5134" max="5134" width="18.44140625" style="165" customWidth="1"/>
    <col min="5135" max="5135" width="17" style="165" customWidth="1"/>
    <col min="5136" max="5136" width="13.6640625" style="165" customWidth="1"/>
    <col min="5137" max="5137" width="11.88671875" style="165" customWidth="1"/>
    <col min="5138" max="5138" width="0" style="165" hidden="1" customWidth="1"/>
    <col min="5139" max="5139" width="14.5546875" style="165" customWidth="1"/>
    <col min="5140" max="5140" width="11.5546875" style="165" customWidth="1"/>
    <col min="5141" max="5141" width="14.33203125" style="165" customWidth="1"/>
    <col min="5142" max="5142" width="22.33203125" style="165" customWidth="1"/>
    <col min="5143" max="5143" width="14.6640625" style="165" customWidth="1"/>
    <col min="5144" max="5144" width="13.5546875" style="165" customWidth="1"/>
    <col min="5145" max="5145" width="15.44140625" style="165" customWidth="1"/>
    <col min="5146" max="5148" width="16.88671875" style="165" customWidth="1"/>
    <col min="5149" max="5149" width="11.44140625" style="165"/>
    <col min="5150" max="5150" width="18.88671875" style="165" customWidth="1"/>
    <col min="5151" max="5151" width="16.109375" style="165" customWidth="1"/>
    <col min="5152" max="5380" width="11.44140625" style="165"/>
    <col min="5381" max="5381" width="5.6640625" style="165" customWidth="1"/>
    <col min="5382" max="5382" width="27.109375" style="165" customWidth="1"/>
    <col min="5383" max="5383" width="19.88671875" style="165" customWidth="1"/>
    <col min="5384" max="5385" width="0" style="165" hidden="1" customWidth="1"/>
    <col min="5386" max="5386" width="14.6640625" style="165" customWidth="1"/>
    <col min="5387" max="5387" width="13.44140625" style="165" customWidth="1"/>
    <col min="5388" max="5388" width="14.5546875" style="165" customWidth="1"/>
    <col min="5389" max="5389" width="0" style="165" hidden="1" customWidth="1"/>
    <col min="5390" max="5390" width="18.44140625" style="165" customWidth="1"/>
    <col min="5391" max="5391" width="17" style="165" customWidth="1"/>
    <col min="5392" max="5392" width="13.6640625" style="165" customWidth="1"/>
    <col min="5393" max="5393" width="11.88671875" style="165" customWidth="1"/>
    <col min="5394" max="5394" width="0" style="165" hidden="1" customWidth="1"/>
    <col min="5395" max="5395" width="14.5546875" style="165" customWidth="1"/>
    <col min="5396" max="5396" width="11.5546875" style="165" customWidth="1"/>
    <col min="5397" max="5397" width="14.33203125" style="165" customWidth="1"/>
    <col min="5398" max="5398" width="22.33203125" style="165" customWidth="1"/>
    <col min="5399" max="5399" width="14.6640625" style="165" customWidth="1"/>
    <col min="5400" max="5400" width="13.5546875" style="165" customWidth="1"/>
    <col min="5401" max="5401" width="15.44140625" style="165" customWidth="1"/>
    <col min="5402" max="5404" width="16.88671875" style="165" customWidth="1"/>
    <col min="5405" max="5405" width="11.44140625" style="165"/>
    <col min="5406" max="5406" width="18.88671875" style="165" customWidth="1"/>
    <col min="5407" max="5407" width="16.109375" style="165" customWidth="1"/>
    <col min="5408" max="5636" width="11.44140625" style="165"/>
    <col min="5637" max="5637" width="5.6640625" style="165" customWidth="1"/>
    <col min="5638" max="5638" width="27.109375" style="165" customWidth="1"/>
    <col min="5639" max="5639" width="19.88671875" style="165" customWidth="1"/>
    <col min="5640" max="5641" width="0" style="165" hidden="1" customWidth="1"/>
    <col min="5642" max="5642" width="14.6640625" style="165" customWidth="1"/>
    <col min="5643" max="5643" width="13.44140625" style="165" customWidth="1"/>
    <col min="5644" max="5644" width="14.5546875" style="165" customWidth="1"/>
    <col min="5645" max="5645" width="0" style="165" hidden="1" customWidth="1"/>
    <col min="5646" max="5646" width="18.44140625" style="165" customWidth="1"/>
    <col min="5647" max="5647" width="17" style="165" customWidth="1"/>
    <col min="5648" max="5648" width="13.6640625" style="165" customWidth="1"/>
    <col min="5649" max="5649" width="11.88671875" style="165" customWidth="1"/>
    <col min="5650" max="5650" width="0" style="165" hidden="1" customWidth="1"/>
    <col min="5651" max="5651" width="14.5546875" style="165" customWidth="1"/>
    <col min="5652" max="5652" width="11.5546875" style="165" customWidth="1"/>
    <col min="5653" max="5653" width="14.33203125" style="165" customWidth="1"/>
    <col min="5654" max="5654" width="22.33203125" style="165" customWidth="1"/>
    <col min="5655" max="5655" width="14.6640625" style="165" customWidth="1"/>
    <col min="5656" max="5656" width="13.5546875" style="165" customWidth="1"/>
    <col min="5657" max="5657" width="15.44140625" style="165" customWidth="1"/>
    <col min="5658" max="5660" width="16.88671875" style="165" customWidth="1"/>
    <col min="5661" max="5661" width="11.44140625" style="165"/>
    <col min="5662" max="5662" width="18.88671875" style="165" customWidth="1"/>
    <col min="5663" max="5663" width="16.109375" style="165" customWidth="1"/>
    <col min="5664" max="5892" width="11.44140625" style="165"/>
    <col min="5893" max="5893" width="5.6640625" style="165" customWidth="1"/>
    <col min="5894" max="5894" width="27.109375" style="165" customWidth="1"/>
    <col min="5895" max="5895" width="19.88671875" style="165" customWidth="1"/>
    <col min="5896" max="5897" width="0" style="165" hidden="1" customWidth="1"/>
    <col min="5898" max="5898" width="14.6640625" style="165" customWidth="1"/>
    <col min="5899" max="5899" width="13.44140625" style="165" customWidth="1"/>
    <col min="5900" max="5900" width="14.5546875" style="165" customWidth="1"/>
    <col min="5901" max="5901" width="0" style="165" hidden="1" customWidth="1"/>
    <col min="5902" max="5902" width="18.44140625" style="165" customWidth="1"/>
    <col min="5903" max="5903" width="17" style="165" customWidth="1"/>
    <col min="5904" max="5904" width="13.6640625" style="165" customWidth="1"/>
    <col min="5905" max="5905" width="11.88671875" style="165" customWidth="1"/>
    <col min="5906" max="5906" width="0" style="165" hidden="1" customWidth="1"/>
    <col min="5907" max="5907" width="14.5546875" style="165" customWidth="1"/>
    <col min="5908" max="5908" width="11.5546875" style="165" customWidth="1"/>
    <col min="5909" max="5909" width="14.33203125" style="165" customWidth="1"/>
    <col min="5910" max="5910" width="22.33203125" style="165" customWidth="1"/>
    <col min="5911" max="5911" width="14.6640625" style="165" customWidth="1"/>
    <col min="5912" max="5912" width="13.5546875" style="165" customWidth="1"/>
    <col min="5913" max="5913" width="15.44140625" style="165" customWidth="1"/>
    <col min="5914" max="5916" width="16.88671875" style="165" customWidth="1"/>
    <col min="5917" max="5917" width="11.44140625" style="165"/>
    <col min="5918" max="5918" width="18.88671875" style="165" customWidth="1"/>
    <col min="5919" max="5919" width="16.109375" style="165" customWidth="1"/>
    <col min="5920" max="6148" width="11.44140625" style="165"/>
    <col min="6149" max="6149" width="5.6640625" style="165" customWidth="1"/>
    <col min="6150" max="6150" width="27.109375" style="165" customWidth="1"/>
    <col min="6151" max="6151" width="19.88671875" style="165" customWidth="1"/>
    <col min="6152" max="6153" width="0" style="165" hidden="1" customWidth="1"/>
    <col min="6154" max="6154" width="14.6640625" style="165" customWidth="1"/>
    <col min="6155" max="6155" width="13.44140625" style="165" customWidth="1"/>
    <col min="6156" max="6156" width="14.5546875" style="165" customWidth="1"/>
    <col min="6157" max="6157" width="0" style="165" hidden="1" customWidth="1"/>
    <col min="6158" max="6158" width="18.44140625" style="165" customWidth="1"/>
    <col min="6159" max="6159" width="17" style="165" customWidth="1"/>
    <col min="6160" max="6160" width="13.6640625" style="165" customWidth="1"/>
    <col min="6161" max="6161" width="11.88671875" style="165" customWidth="1"/>
    <col min="6162" max="6162" width="0" style="165" hidden="1" customWidth="1"/>
    <col min="6163" max="6163" width="14.5546875" style="165" customWidth="1"/>
    <col min="6164" max="6164" width="11.5546875" style="165" customWidth="1"/>
    <col min="6165" max="6165" width="14.33203125" style="165" customWidth="1"/>
    <col min="6166" max="6166" width="22.33203125" style="165" customWidth="1"/>
    <col min="6167" max="6167" width="14.6640625" style="165" customWidth="1"/>
    <col min="6168" max="6168" width="13.5546875" style="165" customWidth="1"/>
    <col min="6169" max="6169" width="15.44140625" style="165" customWidth="1"/>
    <col min="6170" max="6172" width="16.88671875" style="165" customWidth="1"/>
    <col min="6173" max="6173" width="11.44140625" style="165"/>
    <col min="6174" max="6174" width="18.88671875" style="165" customWidth="1"/>
    <col min="6175" max="6175" width="16.109375" style="165" customWidth="1"/>
    <col min="6176" max="6404" width="11.44140625" style="165"/>
    <col min="6405" max="6405" width="5.6640625" style="165" customWidth="1"/>
    <col min="6406" max="6406" width="27.109375" style="165" customWidth="1"/>
    <col min="6407" max="6407" width="19.88671875" style="165" customWidth="1"/>
    <col min="6408" max="6409" width="0" style="165" hidden="1" customWidth="1"/>
    <col min="6410" max="6410" width="14.6640625" style="165" customWidth="1"/>
    <col min="6411" max="6411" width="13.44140625" style="165" customWidth="1"/>
    <col min="6412" max="6412" width="14.5546875" style="165" customWidth="1"/>
    <col min="6413" max="6413" width="0" style="165" hidden="1" customWidth="1"/>
    <col min="6414" max="6414" width="18.44140625" style="165" customWidth="1"/>
    <col min="6415" max="6415" width="17" style="165" customWidth="1"/>
    <col min="6416" max="6416" width="13.6640625" style="165" customWidth="1"/>
    <col min="6417" max="6417" width="11.88671875" style="165" customWidth="1"/>
    <col min="6418" max="6418" width="0" style="165" hidden="1" customWidth="1"/>
    <col min="6419" max="6419" width="14.5546875" style="165" customWidth="1"/>
    <col min="6420" max="6420" width="11.5546875" style="165" customWidth="1"/>
    <col min="6421" max="6421" width="14.33203125" style="165" customWidth="1"/>
    <col min="6422" max="6422" width="22.33203125" style="165" customWidth="1"/>
    <col min="6423" max="6423" width="14.6640625" style="165" customWidth="1"/>
    <col min="6424" max="6424" width="13.5546875" style="165" customWidth="1"/>
    <col min="6425" max="6425" width="15.44140625" style="165" customWidth="1"/>
    <col min="6426" max="6428" width="16.88671875" style="165" customWidth="1"/>
    <col min="6429" max="6429" width="11.44140625" style="165"/>
    <col min="6430" max="6430" width="18.88671875" style="165" customWidth="1"/>
    <col min="6431" max="6431" width="16.109375" style="165" customWidth="1"/>
    <col min="6432" max="6660" width="11.44140625" style="165"/>
    <col min="6661" max="6661" width="5.6640625" style="165" customWidth="1"/>
    <col min="6662" max="6662" width="27.109375" style="165" customWidth="1"/>
    <col min="6663" max="6663" width="19.88671875" style="165" customWidth="1"/>
    <col min="6664" max="6665" width="0" style="165" hidden="1" customWidth="1"/>
    <col min="6666" max="6666" width="14.6640625" style="165" customWidth="1"/>
    <col min="6667" max="6667" width="13.44140625" style="165" customWidth="1"/>
    <col min="6668" max="6668" width="14.5546875" style="165" customWidth="1"/>
    <col min="6669" max="6669" width="0" style="165" hidden="1" customWidth="1"/>
    <col min="6670" max="6670" width="18.44140625" style="165" customWidth="1"/>
    <col min="6671" max="6671" width="17" style="165" customWidth="1"/>
    <col min="6672" max="6672" width="13.6640625" style="165" customWidth="1"/>
    <col min="6673" max="6673" width="11.88671875" style="165" customWidth="1"/>
    <col min="6674" max="6674" width="0" style="165" hidden="1" customWidth="1"/>
    <col min="6675" max="6675" width="14.5546875" style="165" customWidth="1"/>
    <col min="6676" max="6676" width="11.5546875" style="165" customWidth="1"/>
    <col min="6677" max="6677" width="14.33203125" style="165" customWidth="1"/>
    <col min="6678" max="6678" width="22.33203125" style="165" customWidth="1"/>
    <col min="6679" max="6679" width="14.6640625" style="165" customWidth="1"/>
    <col min="6680" max="6680" width="13.5546875" style="165" customWidth="1"/>
    <col min="6681" max="6681" width="15.44140625" style="165" customWidth="1"/>
    <col min="6682" max="6684" width="16.88671875" style="165" customWidth="1"/>
    <col min="6685" max="6685" width="11.44140625" style="165"/>
    <col min="6686" max="6686" width="18.88671875" style="165" customWidth="1"/>
    <col min="6687" max="6687" width="16.109375" style="165" customWidth="1"/>
    <col min="6688" max="6916" width="11.44140625" style="165"/>
    <col min="6917" max="6917" width="5.6640625" style="165" customWidth="1"/>
    <col min="6918" max="6918" width="27.109375" style="165" customWidth="1"/>
    <col min="6919" max="6919" width="19.88671875" style="165" customWidth="1"/>
    <col min="6920" max="6921" width="0" style="165" hidden="1" customWidth="1"/>
    <col min="6922" max="6922" width="14.6640625" style="165" customWidth="1"/>
    <col min="6923" max="6923" width="13.44140625" style="165" customWidth="1"/>
    <col min="6924" max="6924" width="14.5546875" style="165" customWidth="1"/>
    <col min="6925" max="6925" width="0" style="165" hidden="1" customWidth="1"/>
    <col min="6926" max="6926" width="18.44140625" style="165" customWidth="1"/>
    <col min="6927" max="6927" width="17" style="165" customWidth="1"/>
    <col min="6928" max="6928" width="13.6640625" style="165" customWidth="1"/>
    <col min="6929" max="6929" width="11.88671875" style="165" customWidth="1"/>
    <col min="6930" max="6930" width="0" style="165" hidden="1" customWidth="1"/>
    <col min="6931" max="6931" width="14.5546875" style="165" customWidth="1"/>
    <col min="6932" max="6932" width="11.5546875" style="165" customWidth="1"/>
    <col min="6933" max="6933" width="14.33203125" style="165" customWidth="1"/>
    <col min="6934" max="6934" width="22.33203125" style="165" customWidth="1"/>
    <col min="6935" max="6935" width="14.6640625" style="165" customWidth="1"/>
    <col min="6936" max="6936" width="13.5546875" style="165" customWidth="1"/>
    <col min="6937" max="6937" width="15.44140625" style="165" customWidth="1"/>
    <col min="6938" max="6940" width="16.88671875" style="165" customWidth="1"/>
    <col min="6941" max="6941" width="11.44140625" style="165"/>
    <col min="6942" max="6942" width="18.88671875" style="165" customWidth="1"/>
    <col min="6943" max="6943" width="16.109375" style="165" customWidth="1"/>
    <col min="6944" max="7172" width="11.44140625" style="165"/>
    <col min="7173" max="7173" width="5.6640625" style="165" customWidth="1"/>
    <col min="7174" max="7174" width="27.109375" style="165" customWidth="1"/>
    <col min="7175" max="7175" width="19.88671875" style="165" customWidth="1"/>
    <col min="7176" max="7177" width="0" style="165" hidden="1" customWidth="1"/>
    <col min="7178" max="7178" width="14.6640625" style="165" customWidth="1"/>
    <col min="7179" max="7179" width="13.44140625" style="165" customWidth="1"/>
    <col min="7180" max="7180" width="14.5546875" style="165" customWidth="1"/>
    <col min="7181" max="7181" width="0" style="165" hidden="1" customWidth="1"/>
    <col min="7182" max="7182" width="18.44140625" style="165" customWidth="1"/>
    <col min="7183" max="7183" width="17" style="165" customWidth="1"/>
    <col min="7184" max="7184" width="13.6640625" style="165" customWidth="1"/>
    <col min="7185" max="7185" width="11.88671875" style="165" customWidth="1"/>
    <col min="7186" max="7186" width="0" style="165" hidden="1" customWidth="1"/>
    <col min="7187" max="7187" width="14.5546875" style="165" customWidth="1"/>
    <col min="7188" max="7188" width="11.5546875" style="165" customWidth="1"/>
    <col min="7189" max="7189" width="14.33203125" style="165" customWidth="1"/>
    <col min="7190" max="7190" width="22.33203125" style="165" customWidth="1"/>
    <col min="7191" max="7191" width="14.6640625" style="165" customWidth="1"/>
    <col min="7192" max="7192" width="13.5546875" style="165" customWidth="1"/>
    <col min="7193" max="7193" width="15.44140625" style="165" customWidth="1"/>
    <col min="7194" max="7196" width="16.88671875" style="165" customWidth="1"/>
    <col min="7197" max="7197" width="11.44140625" style="165"/>
    <col min="7198" max="7198" width="18.88671875" style="165" customWidth="1"/>
    <col min="7199" max="7199" width="16.109375" style="165" customWidth="1"/>
    <col min="7200" max="7428" width="11.44140625" style="165"/>
    <col min="7429" max="7429" width="5.6640625" style="165" customWidth="1"/>
    <col min="7430" max="7430" width="27.109375" style="165" customWidth="1"/>
    <col min="7431" max="7431" width="19.88671875" style="165" customWidth="1"/>
    <col min="7432" max="7433" width="0" style="165" hidden="1" customWidth="1"/>
    <col min="7434" max="7434" width="14.6640625" style="165" customWidth="1"/>
    <col min="7435" max="7435" width="13.44140625" style="165" customWidth="1"/>
    <col min="7436" max="7436" width="14.5546875" style="165" customWidth="1"/>
    <col min="7437" max="7437" width="0" style="165" hidden="1" customWidth="1"/>
    <col min="7438" max="7438" width="18.44140625" style="165" customWidth="1"/>
    <col min="7439" max="7439" width="17" style="165" customWidth="1"/>
    <col min="7440" max="7440" width="13.6640625" style="165" customWidth="1"/>
    <col min="7441" max="7441" width="11.88671875" style="165" customWidth="1"/>
    <col min="7442" max="7442" width="0" style="165" hidden="1" customWidth="1"/>
    <col min="7443" max="7443" width="14.5546875" style="165" customWidth="1"/>
    <col min="7444" max="7444" width="11.5546875" style="165" customWidth="1"/>
    <col min="7445" max="7445" width="14.33203125" style="165" customWidth="1"/>
    <col min="7446" max="7446" width="22.33203125" style="165" customWidth="1"/>
    <col min="7447" max="7447" width="14.6640625" style="165" customWidth="1"/>
    <col min="7448" max="7448" width="13.5546875" style="165" customWidth="1"/>
    <col min="7449" max="7449" width="15.44140625" style="165" customWidth="1"/>
    <col min="7450" max="7452" width="16.88671875" style="165" customWidth="1"/>
    <col min="7453" max="7453" width="11.44140625" style="165"/>
    <col min="7454" max="7454" width="18.88671875" style="165" customWidth="1"/>
    <col min="7455" max="7455" width="16.109375" style="165" customWidth="1"/>
    <col min="7456" max="7684" width="11.44140625" style="165"/>
    <col min="7685" max="7685" width="5.6640625" style="165" customWidth="1"/>
    <col min="7686" max="7686" width="27.109375" style="165" customWidth="1"/>
    <col min="7687" max="7687" width="19.88671875" style="165" customWidth="1"/>
    <col min="7688" max="7689" width="0" style="165" hidden="1" customWidth="1"/>
    <col min="7690" max="7690" width="14.6640625" style="165" customWidth="1"/>
    <col min="7691" max="7691" width="13.44140625" style="165" customWidth="1"/>
    <col min="7692" max="7692" width="14.5546875" style="165" customWidth="1"/>
    <col min="7693" max="7693" width="0" style="165" hidden="1" customWidth="1"/>
    <col min="7694" max="7694" width="18.44140625" style="165" customWidth="1"/>
    <col min="7695" max="7695" width="17" style="165" customWidth="1"/>
    <col min="7696" max="7696" width="13.6640625" style="165" customWidth="1"/>
    <col min="7697" max="7697" width="11.88671875" style="165" customWidth="1"/>
    <col min="7698" max="7698" width="0" style="165" hidden="1" customWidth="1"/>
    <col min="7699" max="7699" width="14.5546875" style="165" customWidth="1"/>
    <col min="7700" max="7700" width="11.5546875" style="165" customWidth="1"/>
    <col min="7701" max="7701" width="14.33203125" style="165" customWidth="1"/>
    <col min="7702" max="7702" width="22.33203125" style="165" customWidth="1"/>
    <col min="7703" max="7703" width="14.6640625" style="165" customWidth="1"/>
    <col min="7704" max="7704" width="13.5546875" style="165" customWidth="1"/>
    <col min="7705" max="7705" width="15.44140625" style="165" customWidth="1"/>
    <col min="7706" max="7708" width="16.88671875" style="165" customWidth="1"/>
    <col min="7709" max="7709" width="11.44140625" style="165"/>
    <col min="7710" max="7710" width="18.88671875" style="165" customWidth="1"/>
    <col min="7711" max="7711" width="16.109375" style="165" customWidth="1"/>
    <col min="7712" max="7940" width="11.44140625" style="165"/>
    <col min="7941" max="7941" width="5.6640625" style="165" customWidth="1"/>
    <col min="7942" max="7942" width="27.109375" style="165" customWidth="1"/>
    <col min="7943" max="7943" width="19.88671875" style="165" customWidth="1"/>
    <col min="7944" max="7945" width="0" style="165" hidden="1" customWidth="1"/>
    <col min="7946" max="7946" width="14.6640625" style="165" customWidth="1"/>
    <col min="7947" max="7947" width="13.44140625" style="165" customWidth="1"/>
    <col min="7948" max="7948" width="14.5546875" style="165" customWidth="1"/>
    <col min="7949" max="7949" width="0" style="165" hidden="1" customWidth="1"/>
    <col min="7950" max="7950" width="18.44140625" style="165" customWidth="1"/>
    <col min="7951" max="7951" width="17" style="165" customWidth="1"/>
    <col min="7952" max="7952" width="13.6640625" style="165" customWidth="1"/>
    <col min="7953" max="7953" width="11.88671875" style="165" customWidth="1"/>
    <col min="7954" max="7954" width="0" style="165" hidden="1" customWidth="1"/>
    <col min="7955" max="7955" width="14.5546875" style="165" customWidth="1"/>
    <col min="7956" max="7956" width="11.5546875" style="165" customWidth="1"/>
    <col min="7957" max="7957" width="14.33203125" style="165" customWidth="1"/>
    <col min="7958" max="7958" width="22.33203125" style="165" customWidth="1"/>
    <col min="7959" max="7959" width="14.6640625" style="165" customWidth="1"/>
    <col min="7960" max="7960" width="13.5546875" style="165" customWidth="1"/>
    <col min="7961" max="7961" width="15.44140625" style="165" customWidth="1"/>
    <col min="7962" max="7964" width="16.88671875" style="165" customWidth="1"/>
    <col min="7965" max="7965" width="11.44140625" style="165"/>
    <col min="7966" max="7966" width="18.88671875" style="165" customWidth="1"/>
    <col min="7967" max="7967" width="16.109375" style="165" customWidth="1"/>
    <col min="7968" max="8196" width="11.44140625" style="165"/>
    <col min="8197" max="8197" width="5.6640625" style="165" customWidth="1"/>
    <col min="8198" max="8198" width="27.109375" style="165" customWidth="1"/>
    <col min="8199" max="8199" width="19.88671875" style="165" customWidth="1"/>
    <col min="8200" max="8201" width="0" style="165" hidden="1" customWidth="1"/>
    <col min="8202" max="8202" width="14.6640625" style="165" customWidth="1"/>
    <col min="8203" max="8203" width="13.44140625" style="165" customWidth="1"/>
    <col min="8204" max="8204" width="14.5546875" style="165" customWidth="1"/>
    <col min="8205" max="8205" width="0" style="165" hidden="1" customWidth="1"/>
    <col min="8206" max="8206" width="18.44140625" style="165" customWidth="1"/>
    <col min="8207" max="8207" width="17" style="165" customWidth="1"/>
    <col min="8208" max="8208" width="13.6640625" style="165" customWidth="1"/>
    <col min="8209" max="8209" width="11.88671875" style="165" customWidth="1"/>
    <col min="8210" max="8210" width="0" style="165" hidden="1" customWidth="1"/>
    <col min="8211" max="8211" width="14.5546875" style="165" customWidth="1"/>
    <col min="8212" max="8212" width="11.5546875" style="165" customWidth="1"/>
    <col min="8213" max="8213" width="14.33203125" style="165" customWidth="1"/>
    <col min="8214" max="8214" width="22.33203125" style="165" customWidth="1"/>
    <col min="8215" max="8215" width="14.6640625" style="165" customWidth="1"/>
    <col min="8216" max="8216" width="13.5546875" style="165" customWidth="1"/>
    <col min="8217" max="8217" width="15.44140625" style="165" customWidth="1"/>
    <col min="8218" max="8220" width="16.88671875" style="165" customWidth="1"/>
    <col min="8221" max="8221" width="11.44140625" style="165"/>
    <col min="8222" max="8222" width="18.88671875" style="165" customWidth="1"/>
    <col min="8223" max="8223" width="16.109375" style="165" customWidth="1"/>
    <col min="8224" max="8452" width="11.44140625" style="165"/>
    <col min="8453" max="8453" width="5.6640625" style="165" customWidth="1"/>
    <col min="8454" max="8454" width="27.109375" style="165" customWidth="1"/>
    <col min="8455" max="8455" width="19.88671875" style="165" customWidth="1"/>
    <col min="8456" max="8457" width="0" style="165" hidden="1" customWidth="1"/>
    <col min="8458" max="8458" width="14.6640625" style="165" customWidth="1"/>
    <col min="8459" max="8459" width="13.44140625" style="165" customWidth="1"/>
    <col min="8460" max="8460" width="14.5546875" style="165" customWidth="1"/>
    <col min="8461" max="8461" width="0" style="165" hidden="1" customWidth="1"/>
    <col min="8462" max="8462" width="18.44140625" style="165" customWidth="1"/>
    <col min="8463" max="8463" width="17" style="165" customWidth="1"/>
    <col min="8464" max="8464" width="13.6640625" style="165" customWidth="1"/>
    <col min="8465" max="8465" width="11.88671875" style="165" customWidth="1"/>
    <col min="8466" max="8466" width="0" style="165" hidden="1" customWidth="1"/>
    <col min="8467" max="8467" width="14.5546875" style="165" customWidth="1"/>
    <col min="8468" max="8468" width="11.5546875" style="165" customWidth="1"/>
    <col min="8469" max="8469" width="14.33203125" style="165" customWidth="1"/>
    <col min="8470" max="8470" width="22.33203125" style="165" customWidth="1"/>
    <col min="8471" max="8471" width="14.6640625" style="165" customWidth="1"/>
    <col min="8472" max="8472" width="13.5546875" style="165" customWidth="1"/>
    <col min="8473" max="8473" width="15.44140625" style="165" customWidth="1"/>
    <col min="8474" max="8476" width="16.88671875" style="165" customWidth="1"/>
    <col min="8477" max="8477" width="11.44140625" style="165"/>
    <col min="8478" max="8478" width="18.88671875" style="165" customWidth="1"/>
    <col min="8479" max="8479" width="16.109375" style="165" customWidth="1"/>
    <col min="8480" max="8708" width="11.44140625" style="165"/>
    <col min="8709" max="8709" width="5.6640625" style="165" customWidth="1"/>
    <col min="8710" max="8710" width="27.109375" style="165" customWidth="1"/>
    <col min="8711" max="8711" width="19.88671875" style="165" customWidth="1"/>
    <col min="8712" max="8713" width="0" style="165" hidden="1" customWidth="1"/>
    <col min="8714" max="8714" width="14.6640625" style="165" customWidth="1"/>
    <col min="8715" max="8715" width="13.44140625" style="165" customWidth="1"/>
    <col min="8716" max="8716" width="14.5546875" style="165" customWidth="1"/>
    <col min="8717" max="8717" width="0" style="165" hidden="1" customWidth="1"/>
    <col min="8718" max="8718" width="18.44140625" style="165" customWidth="1"/>
    <col min="8719" max="8719" width="17" style="165" customWidth="1"/>
    <col min="8720" max="8720" width="13.6640625" style="165" customWidth="1"/>
    <col min="8721" max="8721" width="11.88671875" style="165" customWidth="1"/>
    <col min="8722" max="8722" width="0" style="165" hidden="1" customWidth="1"/>
    <col min="8723" max="8723" width="14.5546875" style="165" customWidth="1"/>
    <col min="8724" max="8724" width="11.5546875" style="165" customWidth="1"/>
    <col min="8725" max="8725" width="14.33203125" style="165" customWidth="1"/>
    <col min="8726" max="8726" width="22.33203125" style="165" customWidth="1"/>
    <col min="8727" max="8727" width="14.6640625" style="165" customWidth="1"/>
    <col min="8728" max="8728" width="13.5546875" style="165" customWidth="1"/>
    <col min="8729" max="8729" width="15.44140625" style="165" customWidth="1"/>
    <col min="8730" max="8732" width="16.88671875" style="165" customWidth="1"/>
    <col min="8733" max="8733" width="11.44140625" style="165"/>
    <col min="8734" max="8734" width="18.88671875" style="165" customWidth="1"/>
    <col min="8735" max="8735" width="16.109375" style="165" customWidth="1"/>
    <col min="8736" max="8964" width="11.44140625" style="165"/>
    <col min="8965" max="8965" width="5.6640625" style="165" customWidth="1"/>
    <col min="8966" max="8966" width="27.109375" style="165" customWidth="1"/>
    <col min="8967" max="8967" width="19.88671875" style="165" customWidth="1"/>
    <col min="8968" max="8969" width="0" style="165" hidden="1" customWidth="1"/>
    <col min="8970" max="8970" width="14.6640625" style="165" customWidth="1"/>
    <col min="8971" max="8971" width="13.44140625" style="165" customWidth="1"/>
    <col min="8972" max="8972" width="14.5546875" style="165" customWidth="1"/>
    <col min="8973" max="8973" width="0" style="165" hidden="1" customWidth="1"/>
    <col min="8974" max="8974" width="18.44140625" style="165" customWidth="1"/>
    <col min="8975" max="8975" width="17" style="165" customWidth="1"/>
    <col min="8976" max="8976" width="13.6640625" style="165" customWidth="1"/>
    <col min="8977" max="8977" width="11.88671875" style="165" customWidth="1"/>
    <col min="8978" max="8978" width="0" style="165" hidden="1" customWidth="1"/>
    <col min="8979" max="8979" width="14.5546875" style="165" customWidth="1"/>
    <col min="8980" max="8980" width="11.5546875" style="165" customWidth="1"/>
    <col min="8981" max="8981" width="14.33203125" style="165" customWidth="1"/>
    <col min="8982" max="8982" width="22.33203125" style="165" customWidth="1"/>
    <col min="8983" max="8983" width="14.6640625" style="165" customWidth="1"/>
    <col min="8984" max="8984" width="13.5546875" style="165" customWidth="1"/>
    <col min="8985" max="8985" width="15.44140625" style="165" customWidth="1"/>
    <col min="8986" max="8988" width="16.88671875" style="165" customWidth="1"/>
    <col min="8989" max="8989" width="11.44140625" style="165"/>
    <col min="8990" max="8990" width="18.88671875" style="165" customWidth="1"/>
    <col min="8991" max="8991" width="16.109375" style="165" customWidth="1"/>
    <col min="8992" max="9220" width="11.44140625" style="165"/>
    <col min="9221" max="9221" width="5.6640625" style="165" customWidth="1"/>
    <col min="9222" max="9222" width="27.109375" style="165" customWidth="1"/>
    <col min="9223" max="9223" width="19.88671875" style="165" customWidth="1"/>
    <col min="9224" max="9225" width="0" style="165" hidden="1" customWidth="1"/>
    <col min="9226" max="9226" width="14.6640625" style="165" customWidth="1"/>
    <col min="9227" max="9227" width="13.44140625" style="165" customWidth="1"/>
    <col min="9228" max="9228" width="14.5546875" style="165" customWidth="1"/>
    <col min="9229" max="9229" width="0" style="165" hidden="1" customWidth="1"/>
    <col min="9230" max="9230" width="18.44140625" style="165" customWidth="1"/>
    <col min="9231" max="9231" width="17" style="165" customWidth="1"/>
    <col min="9232" max="9232" width="13.6640625" style="165" customWidth="1"/>
    <col min="9233" max="9233" width="11.88671875" style="165" customWidth="1"/>
    <col min="9234" max="9234" width="0" style="165" hidden="1" customWidth="1"/>
    <col min="9235" max="9235" width="14.5546875" style="165" customWidth="1"/>
    <col min="9236" max="9236" width="11.5546875" style="165" customWidth="1"/>
    <col min="9237" max="9237" width="14.33203125" style="165" customWidth="1"/>
    <col min="9238" max="9238" width="22.33203125" style="165" customWidth="1"/>
    <col min="9239" max="9239" width="14.6640625" style="165" customWidth="1"/>
    <col min="9240" max="9240" width="13.5546875" style="165" customWidth="1"/>
    <col min="9241" max="9241" width="15.44140625" style="165" customWidth="1"/>
    <col min="9242" max="9244" width="16.88671875" style="165" customWidth="1"/>
    <col min="9245" max="9245" width="11.44140625" style="165"/>
    <col min="9246" max="9246" width="18.88671875" style="165" customWidth="1"/>
    <col min="9247" max="9247" width="16.109375" style="165" customWidth="1"/>
    <col min="9248" max="9476" width="11.44140625" style="165"/>
    <col min="9477" max="9477" width="5.6640625" style="165" customWidth="1"/>
    <col min="9478" max="9478" width="27.109375" style="165" customWidth="1"/>
    <col min="9479" max="9479" width="19.88671875" style="165" customWidth="1"/>
    <col min="9480" max="9481" width="0" style="165" hidden="1" customWidth="1"/>
    <col min="9482" max="9482" width="14.6640625" style="165" customWidth="1"/>
    <col min="9483" max="9483" width="13.44140625" style="165" customWidth="1"/>
    <col min="9484" max="9484" width="14.5546875" style="165" customWidth="1"/>
    <col min="9485" max="9485" width="0" style="165" hidden="1" customWidth="1"/>
    <col min="9486" max="9486" width="18.44140625" style="165" customWidth="1"/>
    <col min="9487" max="9487" width="17" style="165" customWidth="1"/>
    <col min="9488" max="9488" width="13.6640625" style="165" customWidth="1"/>
    <col min="9489" max="9489" width="11.88671875" style="165" customWidth="1"/>
    <col min="9490" max="9490" width="0" style="165" hidden="1" customWidth="1"/>
    <col min="9491" max="9491" width="14.5546875" style="165" customWidth="1"/>
    <col min="9492" max="9492" width="11.5546875" style="165" customWidth="1"/>
    <col min="9493" max="9493" width="14.33203125" style="165" customWidth="1"/>
    <col min="9494" max="9494" width="22.33203125" style="165" customWidth="1"/>
    <col min="9495" max="9495" width="14.6640625" style="165" customWidth="1"/>
    <col min="9496" max="9496" width="13.5546875" style="165" customWidth="1"/>
    <col min="9497" max="9497" width="15.44140625" style="165" customWidth="1"/>
    <col min="9498" max="9500" width="16.88671875" style="165" customWidth="1"/>
    <col min="9501" max="9501" width="11.44140625" style="165"/>
    <col min="9502" max="9502" width="18.88671875" style="165" customWidth="1"/>
    <col min="9503" max="9503" width="16.109375" style="165" customWidth="1"/>
    <col min="9504" max="9732" width="11.44140625" style="165"/>
    <col min="9733" max="9733" width="5.6640625" style="165" customWidth="1"/>
    <col min="9734" max="9734" width="27.109375" style="165" customWidth="1"/>
    <col min="9735" max="9735" width="19.88671875" style="165" customWidth="1"/>
    <col min="9736" max="9737" width="0" style="165" hidden="1" customWidth="1"/>
    <col min="9738" max="9738" width="14.6640625" style="165" customWidth="1"/>
    <col min="9739" max="9739" width="13.44140625" style="165" customWidth="1"/>
    <col min="9740" max="9740" width="14.5546875" style="165" customWidth="1"/>
    <col min="9741" max="9741" width="0" style="165" hidden="1" customWidth="1"/>
    <col min="9742" max="9742" width="18.44140625" style="165" customWidth="1"/>
    <col min="9743" max="9743" width="17" style="165" customWidth="1"/>
    <col min="9744" max="9744" width="13.6640625" style="165" customWidth="1"/>
    <col min="9745" max="9745" width="11.88671875" style="165" customWidth="1"/>
    <col min="9746" max="9746" width="0" style="165" hidden="1" customWidth="1"/>
    <col min="9747" max="9747" width="14.5546875" style="165" customWidth="1"/>
    <col min="9748" max="9748" width="11.5546875" style="165" customWidth="1"/>
    <col min="9749" max="9749" width="14.33203125" style="165" customWidth="1"/>
    <col min="9750" max="9750" width="22.33203125" style="165" customWidth="1"/>
    <col min="9751" max="9751" width="14.6640625" style="165" customWidth="1"/>
    <col min="9752" max="9752" width="13.5546875" style="165" customWidth="1"/>
    <col min="9753" max="9753" width="15.44140625" style="165" customWidth="1"/>
    <col min="9754" max="9756" width="16.88671875" style="165" customWidth="1"/>
    <col min="9757" max="9757" width="11.44140625" style="165"/>
    <col min="9758" max="9758" width="18.88671875" style="165" customWidth="1"/>
    <col min="9759" max="9759" width="16.109375" style="165" customWidth="1"/>
    <col min="9760" max="9988" width="11.44140625" style="165"/>
    <col min="9989" max="9989" width="5.6640625" style="165" customWidth="1"/>
    <col min="9990" max="9990" width="27.109375" style="165" customWidth="1"/>
    <col min="9991" max="9991" width="19.88671875" style="165" customWidth="1"/>
    <col min="9992" max="9993" width="0" style="165" hidden="1" customWidth="1"/>
    <col min="9994" max="9994" width="14.6640625" style="165" customWidth="1"/>
    <col min="9995" max="9995" width="13.44140625" style="165" customWidth="1"/>
    <col min="9996" max="9996" width="14.5546875" style="165" customWidth="1"/>
    <col min="9997" max="9997" width="0" style="165" hidden="1" customWidth="1"/>
    <col min="9998" max="9998" width="18.44140625" style="165" customWidth="1"/>
    <col min="9999" max="9999" width="17" style="165" customWidth="1"/>
    <col min="10000" max="10000" width="13.6640625" style="165" customWidth="1"/>
    <col min="10001" max="10001" width="11.88671875" style="165" customWidth="1"/>
    <col min="10002" max="10002" width="0" style="165" hidden="1" customWidth="1"/>
    <col min="10003" max="10003" width="14.5546875" style="165" customWidth="1"/>
    <col min="10004" max="10004" width="11.5546875" style="165" customWidth="1"/>
    <col min="10005" max="10005" width="14.33203125" style="165" customWidth="1"/>
    <col min="10006" max="10006" width="22.33203125" style="165" customWidth="1"/>
    <col min="10007" max="10007" width="14.6640625" style="165" customWidth="1"/>
    <col min="10008" max="10008" width="13.5546875" style="165" customWidth="1"/>
    <col min="10009" max="10009" width="15.44140625" style="165" customWidth="1"/>
    <col min="10010" max="10012" width="16.88671875" style="165" customWidth="1"/>
    <col min="10013" max="10013" width="11.44140625" style="165"/>
    <col min="10014" max="10014" width="18.88671875" style="165" customWidth="1"/>
    <col min="10015" max="10015" width="16.109375" style="165" customWidth="1"/>
    <col min="10016" max="10244" width="11.44140625" style="165"/>
    <col min="10245" max="10245" width="5.6640625" style="165" customWidth="1"/>
    <col min="10246" max="10246" width="27.109375" style="165" customWidth="1"/>
    <col min="10247" max="10247" width="19.88671875" style="165" customWidth="1"/>
    <col min="10248" max="10249" width="0" style="165" hidden="1" customWidth="1"/>
    <col min="10250" max="10250" width="14.6640625" style="165" customWidth="1"/>
    <col min="10251" max="10251" width="13.44140625" style="165" customWidth="1"/>
    <col min="10252" max="10252" width="14.5546875" style="165" customWidth="1"/>
    <col min="10253" max="10253" width="0" style="165" hidden="1" customWidth="1"/>
    <col min="10254" max="10254" width="18.44140625" style="165" customWidth="1"/>
    <col min="10255" max="10255" width="17" style="165" customWidth="1"/>
    <col min="10256" max="10256" width="13.6640625" style="165" customWidth="1"/>
    <col min="10257" max="10257" width="11.88671875" style="165" customWidth="1"/>
    <col min="10258" max="10258" width="0" style="165" hidden="1" customWidth="1"/>
    <col min="10259" max="10259" width="14.5546875" style="165" customWidth="1"/>
    <col min="10260" max="10260" width="11.5546875" style="165" customWidth="1"/>
    <col min="10261" max="10261" width="14.33203125" style="165" customWidth="1"/>
    <col min="10262" max="10262" width="22.33203125" style="165" customWidth="1"/>
    <col min="10263" max="10263" width="14.6640625" style="165" customWidth="1"/>
    <col min="10264" max="10264" width="13.5546875" style="165" customWidth="1"/>
    <col min="10265" max="10265" width="15.44140625" style="165" customWidth="1"/>
    <col min="10266" max="10268" width="16.88671875" style="165" customWidth="1"/>
    <col min="10269" max="10269" width="11.44140625" style="165"/>
    <col min="10270" max="10270" width="18.88671875" style="165" customWidth="1"/>
    <col min="10271" max="10271" width="16.109375" style="165" customWidth="1"/>
    <col min="10272" max="10500" width="11.44140625" style="165"/>
    <col min="10501" max="10501" width="5.6640625" style="165" customWidth="1"/>
    <col min="10502" max="10502" width="27.109375" style="165" customWidth="1"/>
    <col min="10503" max="10503" width="19.88671875" style="165" customWidth="1"/>
    <col min="10504" max="10505" width="0" style="165" hidden="1" customWidth="1"/>
    <col min="10506" max="10506" width="14.6640625" style="165" customWidth="1"/>
    <col min="10507" max="10507" width="13.44140625" style="165" customWidth="1"/>
    <col min="10508" max="10508" width="14.5546875" style="165" customWidth="1"/>
    <col min="10509" max="10509" width="0" style="165" hidden="1" customWidth="1"/>
    <col min="10510" max="10510" width="18.44140625" style="165" customWidth="1"/>
    <col min="10511" max="10511" width="17" style="165" customWidth="1"/>
    <col min="10512" max="10512" width="13.6640625" style="165" customWidth="1"/>
    <col min="10513" max="10513" width="11.88671875" style="165" customWidth="1"/>
    <col min="10514" max="10514" width="0" style="165" hidden="1" customWidth="1"/>
    <col min="10515" max="10515" width="14.5546875" style="165" customWidth="1"/>
    <col min="10516" max="10516" width="11.5546875" style="165" customWidth="1"/>
    <col min="10517" max="10517" width="14.33203125" style="165" customWidth="1"/>
    <col min="10518" max="10518" width="22.33203125" style="165" customWidth="1"/>
    <col min="10519" max="10519" width="14.6640625" style="165" customWidth="1"/>
    <col min="10520" max="10520" width="13.5546875" style="165" customWidth="1"/>
    <col min="10521" max="10521" width="15.44140625" style="165" customWidth="1"/>
    <col min="10522" max="10524" width="16.88671875" style="165" customWidth="1"/>
    <col min="10525" max="10525" width="11.44140625" style="165"/>
    <col min="10526" max="10526" width="18.88671875" style="165" customWidth="1"/>
    <col min="10527" max="10527" width="16.109375" style="165" customWidth="1"/>
    <col min="10528" max="10756" width="11.44140625" style="165"/>
    <col min="10757" max="10757" width="5.6640625" style="165" customWidth="1"/>
    <col min="10758" max="10758" width="27.109375" style="165" customWidth="1"/>
    <col min="10759" max="10759" width="19.88671875" style="165" customWidth="1"/>
    <col min="10760" max="10761" width="0" style="165" hidden="1" customWidth="1"/>
    <col min="10762" max="10762" width="14.6640625" style="165" customWidth="1"/>
    <col min="10763" max="10763" width="13.44140625" style="165" customWidth="1"/>
    <col min="10764" max="10764" width="14.5546875" style="165" customWidth="1"/>
    <col min="10765" max="10765" width="0" style="165" hidden="1" customWidth="1"/>
    <col min="10766" max="10766" width="18.44140625" style="165" customWidth="1"/>
    <col min="10767" max="10767" width="17" style="165" customWidth="1"/>
    <col min="10768" max="10768" width="13.6640625" style="165" customWidth="1"/>
    <col min="10769" max="10769" width="11.88671875" style="165" customWidth="1"/>
    <col min="10770" max="10770" width="0" style="165" hidden="1" customWidth="1"/>
    <col min="10771" max="10771" width="14.5546875" style="165" customWidth="1"/>
    <col min="10772" max="10772" width="11.5546875" style="165" customWidth="1"/>
    <col min="10773" max="10773" width="14.33203125" style="165" customWidth="1"/>
    <col min="10774" max="10774" width="22.33203125" style="165" customWidth="1"/>
    <col min="10775" max="10775" width="14.6640625" style="165" customWidth="1"/>
    <col min="10776" max="10776" width="13.5546875" style="165" customWidth="1"/>
    <col min="10777" max="10777" width="15.44140625" style="165" customWidth="1"/>
    <col min="10778" max="10780" width="16.88671875" style="165" customWidth="1"/>
    <col min="10781" max="10781" width="11.44140625" style="165"/>
    <col min="10782" max="10782" width="18.88671875" style="165" customWidth="1"/>
    <col min="10783" max="10783" width="16.109375" style="165" customWidth="1"/>
    <col min="10784" max="11012" width="11.44140625" style="165"/>
    <col min="11013" max="11013" width="5.6640625" style="165" customWidth="1"/>
    <col min="11014" max="11014" width="27.109375" style="165" customWidth="1"/>
    <col min="11015" max="11015" width="19.88671875" style="165" customWidth="1"/>
    <col min="11016" max="11017" width="0" style="165" hidden="1" customWidth="1"/>
    <col min="11018" max="11018" width="14.6640625" style="165" customWidth="1"/>
    <col min="11019" max="11019" width="13.44140625" style="165" customWidth="1"/>
    <col min="11020" max="11020" width="14.5546875" style="165" customWidth="1"/>
    <col min="11021" max="11021" width="0" style="165" hidden="1" customWidth="1"/>
    <col min="11022" max="11022" width="18.44140625" style="165" customWidth="1"/>
    <col min="11023" max="11023" width="17" style="165" customWidth="1"/>
    <col min="11024" max="11024" width="13.6640625" style="165" customWidth="1"/>
    <col min="11025" max="11025" width="11.88671875" style="165" customWidth="1"/>
    <col min="11026" max="11026" width="0" style="165" hidden="1" customWidth="1"/>
    <col min="11027" max="11027" width="14.5546875" style="165" customWidth="1"/>
    <col min="11028" max="11028" width="11.5546875" style="165" customWidth="1"/>
    <col min="11029" max="11029" width="14.33203125" style="165" customWidth="1"/>
    <col min="11030" max="11030" width="22.33203125" style="165" customWidth="1"/>
    <col min="11031" max="11031" width="14.6640625" style="165" customWidth="1"/>
    <col min="11032" max="11032" width="13.5546875" style="165" customWidth="1"/>
    <col min="11033" max="11033" width="15.44140625" style="165" customWidth="1"/>
    <col min="11034" max="11036" width="16.88671875" style="165" customWidth="1"/>
    <col min="11037" max="11037" width="11.44140625" style="165"/>
    <col min="11038" max="11038" width="18.88671875" style="165" customWidth="1"/>
    <col min="11039" max="11039" width="16.109375" style="165" customWidth="1"/>
    <col min="11040" max="11268" width="11.44140625" style="165"/>
    <col min="11269" max="11269" width="5.6640625" style="165" customWidth="1"/>
    <col min="11270" max="11270" width="27.109375" style="165" customWidth="1"/>
    <col min="11271" max="11271" width="19.88671875" style="165" customWidth="1"/>
    <col min="11272" max="11273" width="0" style="165" hidden="1" customWidth="1"/>
    <col min="11274" max="11274" width="14.6640625" style="165" customWidth="1"/>
    <col min="11275" max="11275" width="13.44140625" style="165" customWidth="1"/>
    <col min="11276" max="11276" width="14.5546875" style="165" customWidth="1"/>
    <col min="11277" max="11277" width="0" style="165" hidden="1" customWidth="1"/>
    <col min="11278" max="11278" width="18.44140625" style="165" customWidth="1"/>
    <col min="11279" max="11279" width="17" style="165" customWidth="1"/>
    <col min="11280" max="11280" width="13.6640625" style="165" customWidth="1"/>
    <col min="11281" max="11281" width="11.88671875" style="165" customWidth="1"/>
    <col min="11282" max="11282" width="0" style="165" hidden="1" customWidth="1"/>
    <col min="11283" max="11283" width="14.5546875" style="165" customWidth="1"/>
    <col min="11284" max="11284" width="11.5546875" style="165" customWidth="1"/>
    <col min="11285" max="11285" width="14.33203125" style="165" customWidth="1"/>
    <col min="11286" max="11286" width="22.33203125" style="165" customWidth="1"/>
    <col min="11287" max="11287" width="14.6640625" style="165" customWidth="1"/>
    <col min="11288" max="11288" width="13.5546875" style="165" customWidth="1"/>
    <col min="11289" max="11289" width="15.44140625" style="165" customWidth="1"/>
    <col min="11290" max="11292" width="16.88671875" style="165" customWidth="1"/>
    <col min="11293" max="11293" width="11.44140625" style="165"/>
    <col min="11294" max="11294" width="18.88671875" style="165" customWidth="1"/>
    <col min="11295" max="11295" width="16.109375" style="165" customWidth="1"/>
    <col min="11296" max="11524" width="11.44140625" style="165"/>
    <col min="11525" max="11525" width="5.6640625" style="165" customWidth="1"/>
    <col min="11526" max="11526" width="27.109375" style="165" customWidth="1"/>
    <col min="11527" max="11527" width="19.88671875" style="165" customWidth="1"/>
    <col min="11528" max="11529" width="0" style="165" hidden="1" customWidth="1"/>
    <col min="11530" max="11530" width="14.6640625" style="165" customWidth="1"/>
    <col min="11531" max="11531" width="13.44140625" style="165" customWidth="1"/>
    <col min="11532" max="11532" width="14.5546875" style="165" customWidth="1"/>
    <col min="11533" max="11533" width="0" style="165" hidden="1" customWidth="1"/>
    <col min="11534" max="11534" width="18.44140625" style="165" customWidth="1"/>
    <col min="11535" max="11535" width="17" style="165" customWidth="1"/>
    <col min="11536" max="11536" width="13.6640625" style="165" customWidth="1"/>
    <col min="11537" max="11537" width="11.88671875" style="165" customWidth="1"/>
    <col min="11538" max="11538" width="0" style="165" hidden="1" customWidth="1"/>
    <col min="11539" max="11539" width="14.5546875" style="165" customWidth="1"/>
    <col min="11540" max="11540" width="11.5546875" style="165" customWidth="1"/>
    <col min="11541" max="11541" width="14.33203125" style="165" customWidth="1"/>
    <col min="11542" max="11542" width="22.33203125" style="165" customWidth="1"/>
    <col min="11543" max="11543" width="14.6640625" style="165" customWidth="1"/>
    <col min="11544" max="11544" width="13.5546875" style="165" customWidth="1"/>
    <col min="11545" max="11545" width="15.44140625" style="165" customWidth="1"/>
    <col min="11546" max="11548" width="16.88671875" style="165" customWidth="1"/>
    <col min="11549" max="11549" width="11.44140625" style="165"/>
    <col min="11550" max="11550" width="18.88671875" style="165" customWidth="1"/>
    <col min="11551" max="11551" width="16.109375" style="165" customWidth="1"/>
    <col min="11552" max="11780" width="11.44140625" style="165"/>
    <col min="11781" max="11781" width="5.6640625" style="165" customWidth="1"/>
    <col min="11782" max="11782" width="27.109375" style="165" customWidth="1"/>
    <col min="11783" max="11783" width="19.88671875" style="165" customWidth="1"/>
    <col min="11784" max="11785" width="0" style="165" hidden="1" customWidth="1"/>
    <col min="11786" max="11786" width="14.6640625" style="165" customWidth="1"/>
    <col min="11787" max="11787" width="13.44140625" style="165" customWidth="1"/>
    <col min="11788" max="11788" width="14.5546875" style="165" customWidth="1"/>
    <col min="11789" max="11789" width="0" style="165" hidden="1" customWidth="1"/>
    <col min="11790" max="11790" width="18.44140625" style="165" customWidth="1"/>
    <col min="11791" max="11791" width="17" style="165" customWidth="1"/>
    <col min="11792" max="11792" width="13.6640625" style="165" customWidth="1"/>
    <col min="11793" max="11793" width="11.88671875" style="165" customWidth="1"/>
    <col min="11794" max="11794" width="0" style="165" hidden="1" customWidth="1"/>
    <col min="11795" max="11795" width="14.5546875" style="165" customWidth="1"/>
    <col min="11796" max="11796" width="11.5546875" style="165" customWidth="1"/>
    <col min="11797" max="11797" width="14.33203125" style="165" customWidth="1"/>
    <col min="11798" max="11798" width="22.33203125" style="165" customWidth="1"/>
    <col min="11799" max="11799" width="14.6640625" style="165" customWidth="1"/>
    <col min="11800" max="11800" width="13.5546875" style="165" customWidth="1"/>
    <col min="11801" max="11801" width="15.44140625" style="165" customWidth="1"/>
    <col min="11802" max="11804" width="16.88671875" style="165" customWidth="1"/>
    <col min="11805" max="11805" width="11.44140625" style="165"/>
    <col min="11806" max="11806" width="18.88671875" style="165" customWidth="1"/>
    <col min="11807" max="11807" width="16.109375" style="165" customWidth="1"/>
    <col min="11808" max="12036" width="11.44140625" style="165"/>
    <col min="12037" max="12037" width="5.6640625" style="165" customWidth="1"/>
    <col min="12038" max="12038" width="27.109375" style="165" customWidth="1"/>
    <col min="12039" max="12039" width="19.88671875" style="165" customWidth="1"/>
    <col min="12040" max="12041" width="0" style="165" hidden="1" customWidth="1"/>
    <col min="12042" max="12042" width="14.6640625" style="165" customWidth="1"/>
    <col min="12043" max="12043" width="13.44140625" style="165" customWidth="1"/>
    <col min="12044" max="12044" width="14.5546875" style="165" customWidth="1"/>
    <col min="12045" max="12045" width="0" style="165" hidden="1" customWidth="1"/>
    <col min="12046" max="12046" width="18.44140625" style="165" customWidth="1"/>
    <col min="12047" max="12047" width="17" style="165" customWidth="1"/>
    <col min="12048" max="12048" width="13.6640625" style="165" customWidth="1"/>
    <col min="12049" max="12049" width="11.88671875" style="165" customWidth="1"/>
    <col min="12050" max="12050" width="0" style="165" hidden="1" customWidth="1"/>
    <col min="12051" max="12051" width="14.5546875" style="165" customWidth="1"/>
    <col min="12052" max="12052" width="11.5546875" style="165" customWidth="1"/>
    <col min="12053" max="12053" width="14.33203125" style="165" customWidth="1"/>
    <col min="12054" max="12054" width="22.33203125" style="165" customWidth="1"/>
    <col min="12055" max="12055" width="14.6640625" style="165" customWidth="1"/>
    <col min="12056" max="12056" width="13.5546875" style="165" customWidth="1"/>
    <col min="12057" max="12057" width="15.44140625" style="165" customWidth="1"/>
    <col min="12058" max="12060" width="16.88671875" style="165" customWidth="1"/>
    <col min="12061" max="12061" width="11.44140625" style="165"/>
    <col min="12062" max="12062" width="18.88671875" style="165" customWidth="1"/>
    <col min="12063" max="12063" width="16.109375" style="165" customWidth="1"/>
    <col min="12064" max="12292" width="11.44140625" style="165"/>
    <col min="12293" max="12293" width="5.6640625" style="165" customWidth="1"/>
    <col min="12294" max="12294" width="27.109375" style="165" customWidth="1"/>
    <col min="12295" max="12295" width="19.88671875" style="165" customWidth="1"/>
    <col min="12296" max="12297" width="0" style="165" hidden="1" customWidth="1"/>
    <col min="12298" max="12298" width="14.6640625" style="165" customWidth="1"/>
    <col min="12299" max="12299" width="13.44140625" style="165" customWidth="1"/>
    <col min="12300" max="12300" width="14.5546875" style="165" customWidth="1"/>
    <col min="12301" max="12301" width="0" style="165" hidden="1" customWidth="1"/>
    <col min="12302" max="12302" width="18.44140625" style="165" customWidth="1"/>
    <col min="12303" max="12303" width="17" style="165" customWidth="1"/>
    <col min="12304" max="12304" width="13.6640625" style="165" customWidth="1"/>
    <col min="12305" max="12305" width="11.88671875" style="165" customWidth="1"/>
    <col min="12306" max="12306" width="0" style="165" hidden="1" customWidth="1"/>
    <col min="12307" max="12307" width="14.5546875" style="165" customWidth="1"/>
    <col min="12308" max="12308" width="11.5546875" style="165" customWidth="1"/>
    <col min="12309" max="12309" width="14.33203125" style="165" customWidth="1"/>
    <col min="12310" max="12310" width="22.33203125" style="165" customWidth="1"/>
    <col min="12311" max="12311" width="14.6640625" style="165" customWidth="1"/>
    <col min="12312" max="12312" width="13.5546875" style="165" customWidth="1"/>
    <col min="12313" max="12313" width="15.44140625" style="165" customWidth="1"/>
    <col min="12314" max="12316" width="16.88671875" style="165" customWidth="1"/>
    <col min="12317" max="12317" width="11.44140625" style="165"/>
    <col min="12318" max="12318" width="18.88671875" style="165" customWidth="1"/>
    <col min="12319" max="12319" width="16.109375" style="165" customWidth="1"/>
    <col min="12320" max="12548" width="11.44140625" style="165"/>
    <col min="12549" max="12549" width="5.6640625" style="165" customWidth="1"/>
    <col min="12550" max="12550" width="27.109375" style="165" customWidth="1"/>
    <col min="12551" max="12551" width="19.88671875" style="165" customWidth="1"/>
    <col min="12552" max="12553" width="0" style="165" hidden="1" customWidth="1"/>
    <col min="12554" max="12554" width="14.6640625" style="165" customWidth="1"/>
    <col min="12555" max="12555" width="13.44140625" style="165" customWidth="1"/>
    <col min="12556" max="12556" width="14.5546875" style="165" customWidth="1"/>
    <col min="12557" max="12557" width="0" style="165" hidden="1" customWidth="1"/>
    <col min="12558" max="12558" width="18.44140625" style="165" customWidth="1"/>
    <col min="12559" max="12559" width="17" style="165" customWidth="1"/>
    <col min="12560" max="12560" width="13.6640625" style="165" customWidth="1"/>
    <col min="12561" max="12561" width="11.88671875" style="165" customWidth="1"/>
    <col min="12562" max="12562" width="0" style="165" hidden="1" customWidth="1"/>
    <col min="12563" max="12563" width="14.5546875" style="165" customWidth="1"/>
    <col min="12564" max="12564" width="11.5546875" style="165" customWidth="1"/>
    <col min="12565" max="12565" width="14.33203125" style="165" customWidth="1"/>
    <col min="12566" max="12566" width="22.33203125" style="165" customWidth="1"/>
    <col min="12567" max="12567" width="14.6640625" style="165" customWidth="1"/>
    <col min="12568" max="12568" width="13.5546875" style="165" customWidth="1"/>
    <col min="12569" max="12569" width="15.44140625" style="165" customWidth="1"/>
    <col min="12570" max="12572" width="16.88671875" style="165" customWidth="1"/>
    <col min="12573" max="12573" width="11.44140625" style="165"/>
    <col min="12574" max="12574" width="18.88671875" style="165" customWidth="1"/>
    <col min="12575" max="12575" width="16.109375" style="165" customWidth="1"/>
    <col min="12576" max="12804" width="11.44140625" style="165"/>
    <col min="12805" max="12805" width="5.6640625" style="165" customWidth="1"/>
    <col min="12806" max="12806" width="27.109375" style="165" customWidth="1"/>
    <col min="12807" max="12807" width="19.88671875" style="165" customWidth="1"/>
    <col min="12808" max="12809" width="0" style="165" hidden="1" customWidth="1"/>
    <col min="12810" max="12810" width="14.6640625" style="165" customWidth="1"/>
    <col min="12811" max="12811" width="13.44140625" style="165" customWidth="1"/>
    <col min="12812" max="12812" width="14.5546875" style="165" customWidth="1"/>
    <col min="12813" max="12813" width="0" style="165" hidden="1" customWidth="1"/>
    <col min="12814" max="12814" width="18.44140625" style="165" customWidth="1"/>
    <col min="12815" max="12815" width="17" style="165" customWidth="1"/>
    <col min="12816" max="12816" width="13.6640625" style="165" customWidth="1"/>
    <col min="12817" max="12817" width="11.88671875" style="165" customWidth="1"/>
    <col min="12818" max="12818" width="0" style="165" hidden="1" customWidth="1"/>
    <col min="12819" max="12819" width="14.5546875" style="165" customWidth="1"/>
    <col min="12820" max="12820" width="11.5546875" style="165" customWidth="1"/>
    <col min="12821" max="12821" width="14.33203125" style="165" customWidth="1"/>
    <col min="12822" max="12822" width="22.33203125" style="165" customWidth="1"/>
    <col min="12823" max="12823" width="14.6640625" style="165" customWidth="1"/>
    <col min="12824" max="12824" width="13.5546875" style="165" customWidth="1"/>
    <col min="12825" max="12825" width="15.44140625" style="165" customWidth="1"/>
    <col min="12826" max="12828" width="16.88671875" style="165" customWidth="1"/>
    <col min="12829" max="12829" width="11.44140625" style="165"/>
    <col min="12830" max="12830" width="18.88671875" style="165" customWidth="1"/>
    <col min="12831" max="12831" width="16.109375" style="165" customWidth="1"/>
    <col min="12832" max="13060" width="11.44140625" style="165"/>
    <col min="13061" max="13061" width="5.6640625" style="165" customWidth="1"/>
    <col min="13062" max="13062" width="27.109375" style="165" customWidth="1"/>
    <col min="13063" max="13063" width="19.88671875" style="165" customWidth="1"/>
    <col min="13064" max="13065" width="0" style="165" hidden="1" customWidth="1"/>
    <col min="13066" max="13066" width="14.6640625" style="165" customWidth="1"/>
    <col min="13067" max="13067" width="13.44140625" style="165" customWidth="1"/>
    <col min="13068" max="13068" width="14.5546875" style="165" customWidth="1"/>
    <col min="13069" max="13069" width="0" style="165" hidden="1" customWidth="1"/>
    <col min="13070" max="13070" width="18.44140625" style="165" customWidth="1"/>
    <col min="13071" max="13071" width="17" style="165" customWidth="1"/>
    <col min="13072" max="13072" width="13.6640625" style="165" customWidth="1"/>
    <col min="13073" max="13073" width="11.88671875" style="165" customWidth="1"/>
    <col min="13074" max="13074" width="0" style="165" hidden="1" customWidth="1"/>
    <col min="13075" max="13075" width="14.5546875" style="165" customWidth="1"/>
    <col min="13076" max="13076" width="11.5546875" style="165" customWidth="1"/>
    <col min="13077" max="13077" width="14.33203125" style="165" customWidth="1"/>
    <col min="13078" max="13078" width="22.33203125" style="165" customWidth="1"/>
    <col min="13079" max="13079" width="14.6640625" style="165" customWidth="1"/>
    <col min="13080" max="13080" width="13.5546875" style="165" customWidth="1"/>
    <col min="13081" max="13081" width="15.44140625" style="165" customWidth="1"/>
    <col min="13082" max="13084" width="16.88671875" style="165" customWidth="1"/>
    <col min="13085" max="13085" width="11.44140625" style="165"/>
    <col min="13086" max="13086" width="18.88671875" style="165" customWidth="1"/>
    <col min="13087" max="13087" width="16.109375" style="165" customWidth="1"/>
    <col min="13088" max="13316" width="11.44140625" style="165"/>
    <col min="13317" max="13317" width="5.6640625" style="165" customWidth="1"/>
    <col min="13318" max="13318" width="27.109375" style="165" customWidth="1"/>
    <col min="13319" max="13319" width="19.88671875" style="165" customWidth="1"/>
    <col min="13320" max="13321" width="0" style="165" hidden="1" customWidth="1"/>
    <col min="13322" max="13322" width="14.6640625" style="165" customWidth="1"/>
    <col min="13323" max="13323" width="13.44140625" style="165" customWidth="1"/>
    <col min="13324" max="13324" width="14.5546875" style="165" customWidth="1"/>
    <col min="13325" max="13325" width="0" style="165" hidden="1" customWidth="1"/>
    <col min="13326" max="13326" width="18.44140625" style="165" customWidth="1"/>
    <col min="13327" max="13327" width="17" style="165" customWidth="1"/>
    <col min="13328" max="13328" width="13.6640625" style="165" customWidth="1"/>
    <col min="13329" max="13329" width="11.88671875" style="165" customWidth="1"/>
    <col min="13330" max="13330" width="0" style="165" hidden="1" customWidth="1"/>
    <col min="13331" max="13331" width="14.5546875" style="165" customWidth="1"/>
    <col min="13332" max="13332" width="11.5546875" style="165" customWidth="1"/>
    <col min="13333" max="13333" width="14.33203125" style="165" customWidth="1"/>
    <col min="13334" max="13334" width="22.33203125" style="165" customWidth="1"/>
    <col min="13335" max="13335" width="14.6640625" style="165" customWidth="1"/>
    <col min="13336" max="13336" width="13.5546875" style="165" customWidth="1"/>
    <col min="13337" max="13337" width="15.44140625" style="165" customWidth="1"/>
    <col min="13338" max="13340" width="16.88671875" style="165" customWidth="1"/>
    <col min="13341" max="13341" width="11.44140625" style="165"/>
    <col min="13342" max="13342" width="18.88671875" style="165" customWidth="1"/>
    <col min="13343" max="13343" width="16.109375" style="165" customWidth="1"/>
    <col min="13344" max="13572" width="11.44140625" style="165"/>
    <col min="13573" max="13573" width="5.6640625" style="165" customWidth="1"/>
    <col min="13574" max="13574" width="27.109375" style="165" customWidth="1"/>
    <col min="13575" max="13575" width="19.88671875" style="165" customWidth="1"/>
    <col min="13576" max="13577" width="0" style="165" hidden="1" customWidth="1"/>
    <col min="13578" max="13578" width="14.6640625" style="165" customWidth="1"/>
    <col min="13579" max="13579" width="13.44140625" style="165" customWidth="1"/>
    <col min="13580" max="13580" width="14.5546875" style="165" customWidth="1"/>
    <col min="13581" max="13581" width="0" style="165" hidden="1" customWidth="1"/>
    <col min="13582" max="13582" width="18.44140625" style="165" customWidth="1"/>
    <col min="13583" max="13583" width="17" style="165" customWidth="1"/>
    <col min="13584" max="13584" width="13.6640625" style="165" customWidth="1"/>
    <col min="13585" max="13585" width="11.88671875" style="165" customWidth="1"/>
    <col min="13586" max="13586" width="0" style="165" hidden="1" customWidth="1"/>
    <col min="13587" max="13587" width="14.5546875" style="165" customWidth="1"/>
    <col min="13588" max="13588" width="11.5546875" style="165" customWidth="1"/>
    <col min="13589" max="13589" width="14.33203125" style="165" customWidth="1"/>
    <col min="13590" max="13590" width="22.33203125" style="165" customWidth="1"/>
    <col min="13591" max="13591" width="14.6640625" style="165" customWidth="1"/>
    <col min="13592" max="13592" width="13.5546875" style="165" customWidth="1"/>
    <col min="13593" max="13593" width="15.44140625" style="165" customWidth="1"/>
    <col min="13594" max="13596" width="16.88671875" style="165" customWidth="1"/>
    <col min="13597" max="13597" width="11.44140625" style="165"/>
    <col min="13598" max="13598" width="18.88671875" style="165" customWidth="1"/>
    <col min="13599" max="13599" width="16.109375" style="165" customWidth="1"/>
    <col min="13600" max="13828" width="11.44140625" style="165"/>
    <col min="13829" max="13829" width="5.6640625" style="165" customWidth="1"/>
    <col min="13830" max="13830" width="27.109375" style="165" customWidth="1"/>
    <col min="13831" max="13831" width="19.88671875" style="165" customWidth="1"/>
    <col min="13832" max="13833" width="0" style="165" hidden="1" customWidth="1"/>
    <col min="13834" max="13834" width="14.6640625" style="165" customWidth="1"/>
    <col min="13835" max="13835" width="13.44140625" style="165" customWidth="1"/>
    <col min="13836" max="13836" width="14.5546875" style="165" customWidth="1"/>
    <col min="13837" max="13837" width="0" style="165" hidden="1" customWidth="1"/>
    <col min="13838" max="13838" width="18.44140625" style="165" customWidth="1"/>
    <col min="13839" max="13839" width="17" style="165" customWidth="1"/>
    <col min="13840" max="13840" width="13.6640625" style="165" customWidth="1"/>
    <col min="13841" max="13841" width="11.88671875" style="165" customWidth="1"/>
    <col min="13842" max="13842" width="0" style="165" hidden="1" customWidth="1"/>
    <col min="13843" max="13843" width="14.5546875" style="165" customWidth="1"/>
    <col min="13844" max="13844" width="11.5546875" style="165" customWidth="1"/>
    <col min="13845" max="13845" width="14.33203125" style="165" customWidth="1"/>
    <col min="13846" max="13846" width="22.33203125" style="165" customWidth="1"/>
    <col min="13847" max="13847" width="14.6640625" style="165" customWidth="1"/>
    <col min="13848" max="13848" width="13.5546875" style="165" customWidth="1"/>
    <col min="13849" max="13849" width="15.44140625" style="165" customWidth="1"/>
    <col min="13850" max="13852" width="16.88671875" style="165" customWidth="1"/>
    <col min="13853" max="13853" width="11.44140625" style="165"/>
    <col min="13854" max="13854" width="18.88671875" style="165" customWidth="1"/>
    <col min="13855" max="13855" width="16.109375" style="165" customWidth="1"/>
    <col min="13856" max="14084" width="11.44140625" style="165"/>
    <col min="14085" max="14085" width="5.6640625" style="165" customWidth="1"/>
    <col min="14086" max="14086" width="27.109375" style="165" customWidth="1"/>
    <col min="14087" max="14087" width="19.88671875" style="165" customWidth="1"/>
    <col min="14088" max="14089" width="0" style="165" hidden="1" customWidth="1"/>
    <col min="14090" max="14090" width="14.6640625" style="165" customWidth="1"/>
    <col min="14091" max="14091" width="13.44140625" style="165" customWidth="1"/>
    <col min="14092" max="14092" width="14.5546875" style="165" customWidth="1"/>
    <col min="14093" max="14093" width="0" style="165" hidden="1" customWidth="1"/>
    <col min="14094" max="14094" width="18.44140625" style="165" customWidth="1"/>
    <col min="14095" max="14095" width="17" style="165" customWidth="1"/>
    <col min="14096" max="14096" width="13.6640625" style="165" customWidth="1"/>
    <col min="14097" max="14097" width="11.88671875" style="165" customWidth="1"/>
    <col min="14098" max="14098" width="0" style="165" hidden="1" customWidth="1"/>
    <col min="14099" max="14099" width="14.5546875" style="165" customWidth="1"/>
    <col min="14100" max="14100" width="11.5546875" style="165" customWidth="1"/>
    <col min="14101" max="14101" width="14.33203125" style="165" customWidth="1"/>
    <col min="14102" max="14102" width="22.33203125" style="165" customWidth="1"/>
    <col min="14103" max="14103" width="14.6640625" style="165" customWidth="1"/>
    <col min="14104" max="14104" width="13.5546875" style="165" customWidth="1"/>
    <col min="14105" max="14105" width="15.44140625" style="165" customWidth="1"/>
    <col min="14106" max="14108" width="16.88671875" style="165" customWidth="1"/>
    <col min="14109" max="14109" width="11.44140625" style="165"/>
    <col min="14110" max="14110" width="18.88671875" style="165" customWidth="1"/>
    <col min="14111" max="14111" width="16.109375" style="165" customWidth="1"/>
    <col min="14112" max="14340" width="11.44140625" style="165"/>
    <col min="14341" max="14341" width="5.6640625" style="165" customWidth="1"/>
    <col min="14342" max="14342" width="27.109375" style="165" customWidth="1"/>
    <col min="14343" max="14343" width="19.88671875" style="165" customWidth="1"/>
    <col min="14344" max="14345" width="0" style="165" hidden="1" customWidth="1"/>
    <col min="14346" max="14346" width="14.6640625" style="165" customWidth="1"/>
    <col min="14347" max="14347" width="13.44140625" style="165" customWidth="1"/>
    <col min="14348" max="14348" width="14.5546875" style="165" customWidth="1"/>
    <col min="14349" max="14349" width="0" style="165" hidden="1" customWidth="1"/>
    <col min="14350" max="14350" width="18.44140625" style="165" customWidth="1"/>
    <col min="14351" max="14351" width="17" style="165" customWidth="1"/>
    <col min="14352" max="14352" width="13.6640625" style="165" customWidth="1"/>
    <col min="14353" max="14353" width="11.88671875" style="165" customWidth="1"/>
    <col min="14354" max="14354" width="0" style="165" hidden="1" customWidth="1"/>
    <col min="14355" max="14355" width="14.5546875" style="165" customWidth="1"/>
    <col min="14356" max="14356" width="11.5546875" style="165" customWidth="1"/>
    <col min="14357" max="14357" width="14.33203125" style="165" customWidth="1"/>
    <col min="14358" max="14358" width="22.33203125" style="165" customWidth="1"/>
    <col min="14359" max="14359" width="14.6640625" style="165" customWidth="1"/>
    <col min="14360" max="14360" width="13.5546875" style="165" customWidth="1"/>
    <col min="14361" max="14361" width="15.44140625" style="165" customWidth="1"/>
    <col min="14362" max="14364" width="16.88671875" style="165" customWidth="1"/>
    <col min="14365" max="14365" width="11.44140625" style="165"/>
    <col min="14366" max="14366" width="18.88671875" style="165" customWidth="1"/>
    <col min="14367" max="14367" width="16.109375" style="165" customWidth="1"/>
    <col min="14368" max="14596" width="11.44140625" style="165"/>
    <col min="14597" max="14597" width="5.6640625" style="165" customWidth="1"/>
    <col min="14598" max="14598" width="27.109375" style="165" customWidth="1"/>
    <col min="14599" max="14599" width="19.88671875" style="165" customWidth="1"/>
    <col min="14600" max="14601" width="0" style="165" hidden="1" customWidth="1"/>
    <col min="14602" max="14602" width="14.6640625" style="165" customWidth="1"/>
    <col min="14603" max="14603" width="13.44140625" style="165" customWidth="1"/>
    <col min="14604" max="14604" width="14.5546875" style="165" customWidth="1"/>
    <col min="14605" max="14605" width="0" style="165" hidden="1" customWidth="1"/>
    <col min="14606" max="14606" width="18.44140625" style="165" customWidth="1"/>
    <col min="14607" max="14607" width="17" style="165" customWidth="1"/>
    <col min="14608" max="14608" width="13.6640625" style="165" customWidth="1"/>
    <col min="14609" max="14609" width="11.88671875" style="165" customWidth="1"/>
    <col min="14610" max="14610" width="0" style="165" hidden="1" customWidth="1"/>
    <col min="14611" max="14611" width="14.5546875" style="165" customWidth="1"/>
    <col min="14612" max="14612" width="11.5546875" style="165" customWidth="1"/>
    <col min="14613" max="14613" width="14.33203125" style="165" customWidth="1"/>
    <col min="14614" max="14614" width="22.33203125" style="165" customWidth="1"/>
    <col min="14615" max="14615" width="14.6640625" style="165" customWidth="1"/>
    <col min="14616" max="14616" width="13.5546875" style="165" customWidth="1"/>
    <col min="14617" max="14617" width="15.44140625" style="165" customWidth="1"/>
    <col min="14618" max="14620" width="16.88671875" style="165" customWidth="1"/>
    <col min="14621" max="14621" width="11.44140625" style="165"/>
    <col min="14622" max="14622" width="18.88671875" style="165" customWidth="1"/>
    <col min="14623" max="14623" width="16.109375" style="165" customWidth="1"/>
    <col min="14624" max="14852" width="11.44140625" style="165"/>
    <col min="14853" max="14853" width="5.6640625" style="165" customWidth="1"/>
    <col min="14854" max="14854" width="27.109375" style="165" customWidth="1"/>
    <col min="14855" max="14855" width="19.88671875" style="165" customWidth="1"/>
    <col min="14856" max="14857" width="0" style="165" hidden="1" customWidth="1"/>
    <col min="14858" max="14858" width="14.6640625" style="165" customWidth="1"/>
    <col min="14859" max="14859" width="13.44140625" style="165" customWidth="1"/>
    <col min="14860" max="14860" width="14.5546875" style="165" customWidth="1"/>
    <col min="14861" max="14861" width="0" style="165" hidden="1" customWidth="1"/>
    <col min="14862" max="14862" width="18.44140625" style="165" customWidth="1"/>
    <col min="14863" max="14863" width="17" style="165" customWidth="1"/>
    <col min="14864" max="14864" width="13.6640625" style="165" customWidth="1"/>
    <col min="14865" max="14865" width="11.88671875" style="165" customWidth="1"/>
    <col min="14866" max="14866" width="0" style="165" hidden="1" customWidth="1"/>
    <col min="14867" max="14867" width="14.5546875" style="165" customWidth="1"/>
    <col min="14868" max="14868" width="11.5546875" style="165" customWidth="1"/>
    <col min="14869" max="14869" width="14.33203125" style="165" customWidth="1"/>
    <col min="14870" max="14870" width="22.33203125" style="165" customWidth="1"/>
    <col min="14871" max="14871" width="14.6640625" style="165" customWidth="1"/>
    <col min="14872" max="14872" width="13.5546875" style="165" customWidth="1"/>
    <col min="14873" max="14873" width="15.44140625" style="165" customWidth="1"/>
    <col min="14874" max="14876" width="16.88671875" style="165" customWidth="1"/>
    <col min="14877" max="14877" width="11.44140625" style="165"/>
    <col min="14878" max="14878" width="18.88671875" style="165" customWidth="1"/>
    <col min="14879" max="14879" width="16.109375" style="165" customWidth="1"/>
    <col min="14880" max="15108" width="11.44140625" style="165"/>
    <col min="15109" max="15109" width="5.6640625" style="165" customWidth="1"/>
    <col min="15110" max="15110" width="27.109375" style="165" customWidth="1"/>
    <col min="15111" max="15111" width="19.88671875" style="165" customWidth="1"/>
    <col min="15112" max="15113" width="0" style="165" hidden="1" customWidth="1"/>
    <col min="15114" max="15114" width="14.6640625" style="165" customWidth="1"/>
    <col min="15115" max="15115" width="13.44140625" style="165" customWidth="1"/>
    <col min="15116" max="15116" width="14.5546875" style="165" customWidth="1"/>
    <col min="15117" max="15117" width="0" style="165" hidden="1" customWidth="1"/>
    <col min="15118" max="15118" width="18.44140625" style="165" customWidth="1"/>
    <col min="15119" max="15119" width="17" style="165" customWidth="1"/>
    <col min="15120" max="15120" width="13.6640625" style="165" customWidth="1"/>
    <col min="15121" max="15121" width="11.88671875" style="165" customWidth="1"/>
    <col min="15122" max="15122" width="0" style="165" hidden="1" customWidth="1"/>
    <col min="15123" max="15123" width="14.5546875" style="165" customWidth="1"/>
    <col min="15124" max="15124" width="11.5546875" style="165" customWidth="1"/>
    <col min="15125" max="15125" width="14.33203125" style="165" customWidth="1"/>
    <col min="15126" max="15126" width="22.33203125" style="165" customWidth="1"/>
    <col min="15127" max="15127" width="14.6640625" style="165" customWidth="1"/>
    <col min="15128" max="15128" width="13.5546875" style="165" customWidth="1"/>
    <col min="15129" max="15129" width="15.44140625" style="165" customWidth="1"/>
    <col min="15130" max="15132" width="16.88671875" style="165" customWidth="1"/>
    <col min="15133" max="15133" width="11.44140625" style="165"/>
    <col min="15134" max="15134" width="18.88671875" style="165" customWidth="1"/>
    <col min="15135" max="15135" width="16.109375" style="165" customWidth="1"/>
    <col min="15136" max="15364" width="11.44140625" style="165"/>
    <col min="15365" max="15365" width="5.6640625" style="165" customWidth="1"/>
    <col min="15366" max="15366" width="27.109375" style="165" customWidth="1"/>
    <col min="15367" max="15367" width="19.88671875" style="165" customWidth="1"/>
    <col min="15368" max="15369" width="0" style="165" hidden="1" customWidth="1"/>
    <col min="15370" max="15370" width="14.6640625" style="165" customWidth="1"/>
    <col min="15371" max="15371" width="13.44140625" style="165" customWidth="1"/>
    <col min="15372" max="15372" width="14.5546875" style="165" customWidth="1"/>
    <col min="15373" max="15373" width="0" style="165" hidden="1" customWidth="1"/>
    <col min="15374" max="15374" width="18.44140625" style="165" customWidth="1"/>
    <col min="15375" max="15375" width="17" style="165" customWidth="1"/>
    <col min="15376" max="15376" width="13.6640625" style="165" customWidth="1"/>
    <col min="15377" max="15377" width="11.88671875" style="165" customWidth="1"/>
    <col min="15378" max="15378" width="0" style="165" hidden="1" customWidth="1"/>
    <col min="15379" max="15379" width="14.5546875" style="165" customWidth="1"/>
    <col min="15380" max="15380" width="11.5546875" style="165" customWidth="1"/>
    <col min="15381" max="15381" width="14.33203125" style="165" customWidth="1"/>
    <col min="15382" max="15382" width="22.33203125" style="165" customWidth="1"/>
    <col min="15383" max="15383" width="14.6640625" style="165" customWidth="1"/>
    <col min="15384" max="15384" width="13.5546875" style="165" customWidth="1"/>
    <col min="15385" max="15385" width="15.44140625" style="165" customWidth="1"/>
    <col min="15386" max="15388" width="16.88671875" style="165" customWidth="1"/>
    <col min="15389" max="15389" width="11.44140625" style="165"/>
    <col min="15390" max="15390" width="18.88671875" style="165" customWidth="1"/>
    <col min="15391" max="15391" width="16.109375" style="165" customWidth="1"/>
    <col min="15392" max="15620" width="11.44140625" style="165"/>
    <col min="15621" max="15621" width="5.6640625" style="165" customWidth="1"/>
    <col min="15622" max="15622" width="27.109375" style="165" customWidth="1"/>
    <col min="15623" max="15623" width="19.88671875" style="165" customWidth="1"/>
    <col min="15624" max="15625" width="0" style="165" hidden="1" customWidth="1"/>
    <col min="15626" max="15626" width="14.6640625" style="165" customWidth="1"/>
    <col min="15627" max="15627" width="13.44140625" style="165" customWidth="1"/>
    <col min="15628" max="15628" width="14.5546875" style="165" customWidth="1"/>
    <col min="15629" max="15629" width="0" style="165" hidden="1" customWidth="1"/>
    <col min="15630" max="15630" width="18.44140625" style="165" customWidth="1"/>
    <col min="15631" max="15631" width="17" style="165" customWidth="1"/>
    <col min="15632" max="15632" width="13.6640625" style="165" customWidth="1"/>
    <col min="15633" max="15633" width="11.88671875" style="165" customWidth="1"/>
    <col min="15634" max="15634" width="0" style="165" hidden="1" customWidth="1"/>
    <col min="15635" max="15635" width="14.5546875" style="165" customWidth="1"/>
    <col min="15636" max="15636" width="11.5546875" style="165" customWidth="1"/>
    <col min="15637" max="15637" width="14.33203125" style="165" customWidth="1"/>
    <col min="15638" max="15638" width="22.33203125" style="165" customWidth="1"/>
    <col min="15639" max="15639" width="14.6640625" style="165" customWidth="1"/>
    <col min="15640" max="15640" width="13.5546875" style="165" customWidth="1"/>
    <col min="15641" max="15641" width="15.44140625" style="165" customWidth="1"/>
    <col min="15642" max="15644" width="16.88671875" style="165" customWidth="1"/>
    <col min="15645" max="15645" width="11.44140625" style="165"/>
    <col min="15646" max="15646" width="18.88671875" style="165" customWidth="1"/>
    <col min="15647" max="15647" width="16.109375" style="165" customWidth="1"/>
    <col min="15648" max="15876" width="11.44140625" style="165"/>
    <col min="15877" max="15877" width="5.6640625" style="165" customWidth="1"/>
    <col min="15878" max="15878" width="27.109375" style="165" customWidth="1"/>
    <col min="15879" max="15879" width="19.88671875" style="165" customWidth="1"/>
    <col min="15880" max="15881" width="0" style="165" hidden="1" customWidth="1"/>
    <col min="15882" max="15882" width="14.6640625" style="165" customWidth="1"/>
    <col min="15883" max="15883" width="13.44140625" style="165" customWidth="1"/>
    <col min="15884" max="15884" width="14.5546875" style="165" customWidth="1"/>
    <col min="15885" max="15885" width="0" style="165" hidden="1" customWidth="1"/>
    <col min="15886" max="15886" width="18.44140625" style="165" customWidth="1"/>
    <col min="15887" max="15887" width="17" style="165" customWidth="1"/>
    <col min="15888" max="15888" width="13.6640625" style="165" customWidth="1"/>
    <col min="15889" max="15889" width="11.88671875" style="165" customWidth="1"/>
    <col min="15890" max="15890" width="0" style="165" hidden="1" customWidth="1"/>
    <col min="15891" max="15891" width="14.5546875" style="165" customWidth="1"/>
    <col min="15892" max="15892" width="11.5546875" style="165" customWidth="1"/>
    <col min="15893" max="15893" width="14.33203125" style="165" customWidth="1"/>
    <col min="15894" max="15894" width="22.33203125" style="165" customWidth="1"/>
    <col min="15895" max="15895" width="14.6640625" style="165" customWidth="1"/>
    <col min="15896" max="15896" width="13.5546875" style="165" customWidth="1"/>
    <col min="15897" max="15897" width="15.44140625" style="165" customWidth="1"/>
    <col min="15898" max="15900" width="16.88671875" style="165" customWidth="1"/>
    <col min="15901" max="15901" width="11.44140625" style="165"/>
    <col min="15902" max="15902" width="18.88671875" style="165" customWidth="1"/>
    <col min="15903" max="15903" width="16.109375" style="165" customWidth="1"/>
    <col min="15904" max="16132" width="11.44140625" style="165"/>
    <col min="16133" max="16133" width="5.6640625" style="165" customWidth="1"/>
    <col min="16134" max="16134" width="27.109375" style="165" customWidth="1"/>
    <col min="16135" max="16135" width="19.88671875" style="165" customWidth="1"/>
    <col min="16136" max="16137" width="0" style="165" hidden="1" customWidth="1"/>
    <col min="16138" max="16138" width="14.6640625" style="165" customWidth="1"/>
    <col min="16139" max="16139" width="13.44140625" style="165" customWidth="1"/>
    <col min="16140" max="16140" width="14.5546875" style="165" customWidth="1"/>
    <col min="16141" max="16141" width="0" style="165" hidden="1" customWidth="1"/>
    <col min="16142" max="16142" width="18.44140625" style="165" customWidth="1"/>
    <col min="16143" max="16143" width="17" style="165" customWidth="1"/>
    <col min="16144" max="16144" width="13.6640625" style="165" customWidth="1"/>
    <col min="16145" max="16145" width="11.88671875" style="165" customWidth="1"/>
    <col min="16146" max="16146" width="0" style="165" hidden="1" customWidth="1"/>
    <col min="16147" max="16147" width="14.5546875" style="165" customWidth="1"/>
    <col min="16148" max="16148" width="11.5546875" style="165" customWidth="1"/>
    <col min="16149" max="16149" width="14.33203125" style="165" customWidth="1"/>
    <col min="16150" max="16150" width="22.33203125" style="165" customWidth="1"/>
    <col min="16151" max="16151" width="14.6640625" style="165" customWidth="1"/>
    <col min="16152" max="16152" width="13.5546875" style="165" customWidth="1"/>
    <col min="16153" max="16153" width="15.44140625" style="165" customWidth="1"/>
    <col min="16154" max="16156" width="16.88671875" style="165" customWidth="1"/>
    <col min="16157" max="16157" width="11.44140625" style="165"/>
    <col min="16158" max="16158" width="18.88671875" style="165" customWidth="1"/>
    <col min="16159" max="16159" width="16.109375" style="165" customWidth="1"/>
    <col min="16160" max="16384" width="11.44140625" style="165"/>
  </cols>
  <sheetData>
    <row r="1" spans="1:27" x14ac:dyDescent="0.25">
      <c r="A1" s="467" t="s">
        <v>30</v>
      </c>
      <c r="B1" s="467"/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  <c r="O1" s="467"/>
      <c r="P1" s="467"/>
      <c r="Q1" s="467"/>
      <c r="R1" s="467"/>
      <c r="S1" s="467"/>
      <c r="T1" s="467"/>
      <c r="U1" s="467"/>
      <c r="V1" s="467"/>
      <c r="W1" s="163"/>
    </row>
    <row r="2" spans="1:27" x14ac:dyDescent="0.25">
      <c r="A2" s="467" t="s">
        <v>31</v>
      </c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  <c r="O2" s="467"/>
      <c r="P2" s="467"/>
      <c r="Q2" s="467"/>
      <c r="R2" s="467"/>
      <c r="S2" s="467"/>
      <c r="T2" s="467"/>
      <c r="U2" s="467"/>
      <c r="V2" s="467"/>
      <c r="W2" s="163"/>
    </row>
    <row r="3" spans="1:27" x14ac:dyDescent="0.25">
      <c r="A3" s="468" t="s">
        <v>34</v>
      </c>
      <c r="B3" s="468"/>
    </row>
    <row r="4" spans="1:27" x14ac:dyDescent="0.25">
      <c r="A4" s="468" t="s">
        <v>26</v>
      </c>
      <c r="B4" s="468"/>
      <c r="T4" s="466" t="s">
        <v>167</v>
      </c>
      <c r="U4" s="466"/>
      <c r="V4" s="466"/>
    </row>
    <row r="5" spans="1:27" ht="24.6" x14ac:dyDescent="0.25">
      <c r="A5" s="465"/>
      <c r="B5" s="465"/>
      <c r="C5" s="465"/>
      <c r="D5" s="465"/>
      <c r="E5" s="465"/>
      <c r="F5" s="465"/>
      <c r="G5" s="465"/>
      <c r="H5" s="465"/>
      <c r="I5" s="168"/>
      <c r="J5" s="168"/>
      <c r="K5" s="168"/>
      <c r="L5" s="168"/>
      <c r="M5" s="168"/>
      <c r="N5" s="166"/>
      <c r="T5" s="466" t="s">
        <v>146</v>
      </c>
      <c r="U5" s="466"/>
      <c r="V5" s="466"/>
    </row>
    <row r="6" spans="1:27" ht="23.4" x14ac:dyDescent="0.25">
      <c r="A6" s="469" t="s">
        <v>168</v>
      </c>
      <c r="B6" s="469"/>
      <c r="C6" s="469"/>
      <c r="D6" s="469"/>
      <c r="E6" s="469"/>
      <c r="F6" s="469"/>
      <c r="G6" s="469"/>
      <c r="H6" s="469"/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69"/>
      <c r="T6" s="469"/>
      <c r="U6" s="469"/>
      <c r="V6" s="469"/>
      <c r="W6" s="169"/>
    </row>
    <row r="7" spans="1:27" x14ac:dyDescent="0.25">
      <c r="A7" s="467" t="str">
        <f>[1]TBsalary!A7</f>
        <v>ປະຈຳເດືອນ ສິງຫາ (08) 2026</v>
      </c>
      <c r="B7" s="467"/>
      <c r="C7" s="467"/>
      <c r="D7" s="467"/>
      <c r="E7" s="467"/>
      <c r="F7" s="467"/>
      <c r="G7" s="467"/>
      <c r="H7" s="467"/>
      <c r="I7" s="467"/>
      <c r="J7" s="467"/>
      <c r="K7" s="467"/>
      <c r="L7" s="467"/>
      <c r="M7" s="467"/>
      <c r="N7" s="467"/>
      <c r="O7" s="467"/>
      <c r="P7" s="467"/>
      <c r="Q7" s="467"/>
      <c r="R7" s="467"/>
      <c r="S7" s="467"/>
      <c r="T7" s="467"/>
      <c r="U7" s="467"/>
      <c r="V7" s="467"/>
      <c r="W7" s="163"/>
    </row>
    <row r="8" spans="1:27" hidden="1" x14ac:dyDescent="0.25">
      <c r="A8" s="170"/>
      <c r="C8" s="171">
        <v>258.7</v>
      </c>
      <c r="D8" s="171"/>
      <c r="E8" s="171"/>
      <c r="F8" s="171"/>
      <c r="G8" s="171"/>
    </row>
    <row r="9" spans="1:27" x14ac:dyDescent="0.25">
      <c r="A9" s="470" t="s">
        <v>3</v>
      </c>
      <c r="B9" s="470" t="s">
        <v>4</v>
      </c>
      <c r="C9" s="470" t="s">
        <v>66</v>
      </c>
      <c r="D9" s="473" t="s">
        <v>152</v>
      </c>
      <c r="E9" s="476" t="s">
        <v>148</v>
      </c>
      <c r="F9" s="479" t="s">
        <v>169</v>
      </c>
      <c r="G9" s="479" t="s">
        <v>170</v>
      </c>
      <c r="H9" s="470" t="s">
        <v>149</v>
      </c>
      <c r="I9" s="492" t="s">
        <v>171</v>
      </c>
      <c r="J9" s="493"/>
      <c r="K9" s="357" t="s">
        <v>121</v>
      </c>
      <c r="L9" s="488" t="s">
        <v>172</v>
      </c>
      <c r="M9" s="470" t="s">
        <v>152</v>
      </c>
      <c r="N9" s="496" t="s">
        <v>153</v>
      </c>
      <c r="O9" s="488" t="s">
        <v>173</v>
      </c>
      <c r="P9" s="488" t="s">
        <v>155</v>
      </c>
      <c r="Q9" s="488" t="s">
        <v>156</v>
      </c>
      <c r="R9" s="488" t="s">
        <v>174</v>
      </c>
      <c r="S9" s="488" t="s">
        <v>157</v>
      </c>
      <c r="T9" s="488" t="s">
        <v>175</v>
      </c>
      <c r="U9" s="491" t="s">
        <v>159</v>
      </c>
      <c r="V9" s="482" t="s">
        <v>176</v>
      </c>
      <c r="W9" s="172"/>
      <c r="X9" s="173"/>
      <c r="Y9" s="483" t="s">
        <v>177</v>
      </c>
      <c r="Z9" s="484"/>
      <c r="AA9" s="485" t="s">
        <v>178</v>
      </c>
    </row>
    <row r="10" spans="1:27" s="170" customFormat="1" ht="33" customHeight="1" x14ac:dyDescent="0.25">
      <c r="A10" s="471"/>
      <c r="B10" s="471"/>
      <c r="C10" s="471"/>
      <c r="D10" s="474"/>
      <c r="E10" s="477"/>
      <c r="F10" s="480"/>
      <c r="G10" s="480"/>
      <c r="H10" s="471"/>
      <c r="I10" s="494"/>
      <c r="J10" s="495"/>
      <c r="K10" s="358"/>
      <c r="L10" s="489"/>
      <c r="M10" s="471"/>
      <c r="N10" s="497"/>
      <c r="O10" s="489"/>
      <c r="P10" s="489"/>
      <c r="Q10" s="489"/>
      <c r="R10" s="489"/>
      <c r="S10" s="489"/>
      <c r="T10" s="489"/>
      <c r="U10" s="491"/>
      <c r="V10" s="482"/>
      <c r="W10" s="174" t="s">
        <v>179</v>
      </c>
      <c r="X10" s="175" t="s">
        <v>180</v>
      </c>
      <c r="Y10" s="483"/>
      <c r="Z10" s="484"/>
      <c r="AA10" s="485"/>
    </row>
    <row r="11" spans="1:27" s="170" customFormat="1" x14ac:dyDescent="0.25">
      <c r="A11" s="472"/>
      <c r="B11" s="472"/>
      <c r="C11" s="472"/>
      <c r="D11" s="475"/>
      <c r="E11" s="478"/>
      <c r="F11" s="481"/>
      <c r="G11" s="481"/>
      <c r="H11" s="472"/>
      <c r="I11" s="176" t="s">
        <v>181</v>
      </c>
      <c r="J11" s="176" t="s">
        <v>5</v>
      </c>
      <c r="K11" s="361"/>
      <c r="L11" s="490"/>
      <c r="M11" s="472"/>
      <c r="N11" s="498"/>
      <c r="O11" s="490"/>
      <c r="P11" s="490"/>
      <c r="Q11" s="490"/>
      <c r="R11" s="490"/>
      <c r="S11" s="490"/>
      <c r="T11" s="490"/>
      <c r="U11" s="177" t="s">
        <v>162</v>
      </c>
      <c r="V11" s="482"/>
      <c r="W11" s="178" t="s">
        <v>182</v>
      </c>
      <c r="X11" s="179" t="s">
        <v>183</v>
      </c>
      <c r="Y11" s="180" t="s">
        <v>184</v>
      </c>
      <c r="Z11" s="181" t="s">
        <v>185</v>
      </c>
      <c r="AA11" s="182"/>
    </row>
    <row r="12" spans="1:27" x14ac:dyDescent="0.25">
      <c r="A12" s="183">
        <v>1</v>
      </c>
      <c r="B12" s="6" t="s">
        <v>138</v>
      </c>
      <c r="C12" s="6" t="s">
        <v>140</v>
      </c>
      <c r="D12" s="184">
        <f>E12+W12</f>
        <v>50365.507871341229</v>
      </c>
      <c r="E12" s="184">
        <f>M12/T12</f>
        <v>19068.031662580855</v>
      </c>
      <c r="F12" s="185">
        <v>50000</v>
      </c>
      <c r="G12" s="186">
        <f>P12/T12</f>
        <v>18702.523791239626</v>
      </c>
      <c r="H12" s="187">
        <f>ROUND(+[1]for!I16+[1]for!K16+[1]for!L16+[1]for!N16+[1]for!P16,2)</f>
        <v>12911726.960000001</v>
      </c>
      <c r="I12" s="187">
        <f>+[1]for!Q16</f>
        <v>0</v>
      </c>
      <c r="J12" s="187">
        <f>+[1]for!R16</f>
        <v>0</v>
      </c>
      <c r="K12" s="187">
        <f>[1]for!T16</f>
        <v>0</v>
      </c>
      <c r="L12" s="187">
        <f>+[1]for!U16</f>
        <v>0</v>
      </c>
      <c r="M12" s="187">
        <f>ROUND(+H12+J12+K12+L12,2)</f>
        <v>12911726.960000001</v>
      </c>
      <c r="N12" s="187">
        <f>+[1]for!W16</f>
        <v>247500</v>
      </c>
      <c r="O12" s="187">
        <f>+[1]for!AF16</f>
        <v>0</v>
      </c>
      <c r="P12" s="187">
        <f>ROUND(M12-N12-O12,2)</f>
        <v>12664226.960000001</v>
      </c>
      <c r="Q12" s="187">
        <f>+[1]for!AH16</f>
        <v>20000</v>
      </c>
      <c r="R12" s="187">
        <f>+K12</f>
        <v>0</v>
      </c>
      <c r="S12" s="187">
        <f>ROUND(P12-Q12-R12,2)</f>
        <v>12644226.960000001</v>
      </c>
      <c r="T12" s="188">
        <f>[1]TBsalary!Q12</f>
        <v>677.14</v>
      </c>
      <c r="U12" s="188">
        <f>ROUND(+S12/T12,2)</f>
        <v>18672.990000000002</v>
      </c>
      <c r="V12" s="188"/>
      <c r="W12" s="189">
        <f>$F$12-$G$12</f>
        <v>31297.476208760374</v>
      </c>
      <c r="X12" s="190">
        <f>+W12+U12</f>
        <v>49970.466208760379</v>
      </c>
      <c r="Y12" s="191">
        <f>+N12+O12+Q12</f>
        <v>267500</v>
      </c>
      <c r="Z12" s="192">
        <f>+Y12/T12</f>
        <v>395.04386094456095</v>
      </c>
      <c r="AA12" s="192">
        <f>+U12+W12</f>
        <v>49970.466208760379</v>
      </c>
    </row>
    <row r="13" spans="1:27" x14ac:dyDescent="0.25">
      <c r="A13" s="183">
        <v>2</v>
      </c>
      <c r="B13" s="6" t="s">
        <v>139</v>
      </c>
      <c r="C13" s="6" t="s">
        <v>141</v>
      </c>
      <c r="D13" s="184">
        <f>E13+W13</f>
        <v>32240.507871341229</v>
      </c>
      <c r="E13" s="184">
        <f>M13/T13</f>
        <v>17541.859896033318</v>
      </c>
      <c r="F13" s="185">
        <v>31875</v>
      </c>
      <c r="G13" s="186">
        <f>P13/T13</f>
        <v>17176.352024692089</v>
      </c>
      <c r="H13" s="187">
        <f>ROUND(+[1]for!I17+[1]for!K17+[1]for!L17+[1]for!N17+[1]for!P17,2)</f>
        <v>11878295.01</v>
      </c>
      <c r="I13" s="187">
        <f>+[1]for!Q17</f>
        <v>0</v>
      </c>
      <c r="J13" s="187">
        <f>+[1]for!R17</f>
        <v>0</v>
      </c>
      <c r="K13" s="187">
        <f>[1]for!T17</f>
        <v>0</v>
      </c>
      <c r="L13" s="187">
        <f>+[1]for!U17</f>
        <v>0</v>
      </c>
      <c r="M13" s="187">
        <f t="shared" ref="M13" si="0">ROUND(+H13+J13+K13+L13,2)</f>
        <v>11878295.01</v>
      </c>
      <c r="N13" s="187">
        <f>+[1]for!W17</f>
        <v>247500</v>
      </c>
      <c r="O13" s="187">
        <f>+[1]for!AF17</f>
        <v>0</v>
      </c>
      <c r="P13" s="187">
        <f>ROUND(M13-N13-O13,2)</f>
        <v>11630795.01</v>
      </c>
      <c r="Q13" s="187">
        <f>[1]for!AH17</f>
        <v>20000</v>
      </c>
      <c r="R13" s="187">
        <f t="shared" ref="R13" si="1">+K13</f>
        <v>0</v>
      </c>
      <c r="S13" s="187">
        <f>ROUND(P13-Q13-R13,2)</f>
        <v>11610795.01</v>
      </c>
      <c r="T13" s="188">
        <f>T12</f>
        <v>677.14</v>
      </c>
      <c r="U13" s="188">
        <f>ROUND(+S13/T13,2)</f>
        <v>17146.82</v>
      </c>
      <c r="V13" s="188"/>
      <c r="W13" s="189">
        <f>$F$13-$G$13</f>
        <v>14698.647975307911</v>
      </c>
      <c r="X13" s="190">
        <f>+W13+U13</f>
        <v>31845.467975307911</v>
      </c>
      <c r="Y13" s="191"/>
      <c r="Z13" s="192"/>
      <c r="AA13" s="192"/>
    </row>
    <row r="14" spans="1:27" x14ac:dyDescent="0.25">
      <c r="A14" s="193"/>
      <c r="B14" s="486" t="s">
        <v>19</v>
      </c>
      <c r="C14" s="487"/>
      <c r="D14" s="194">
        <f>SUM(D12:D13)</f>
        <v>82606.015742682459</v>
      </c>
      <c r="E14" s="194">
        <f>SUM(E12:E13)</f>
        <v>36609.891558614174</v>
      </c>
      <c r="F14" s="195">
        <f>SUM(F12:F13)</f>
        <v>81875</v>
      </c>
      <c r="G14" s="196"/>
      <c r="H14" s="197" cm="1">
        <f t="array" ref="H14">SUM(ROUND(H12:H13,2))</f>
        <v>24790021.969999999</v>
      </c>
      <c r="I14" s="197" cm="1">
        <f t="array" ref="I14">SUM(ROUND(I12:I13,2))</f>
        <v>0</v>
      </c>
      <c r="J14" s="197" cm="1">
        <f t="array" ref="J14">SUM(ROUND(J12:J13,2))</f>
        <v>0</v>
      </c>
      <c r="K14" s="197" cm="1">
        <f t="array" ref="K14">SUM(ROUND(K12:K13,2))</f>
        <v>0</v>
      </c>
      <c r="L14" s="197" cm="1">
        <f t="array" ref="L14">SUM(ROUND(L12:L13,2))</f>
        <v>0</v>
      </c>
      <c r="M14" s="197" cm="1">
        <f t="array" ref="M14">SUM(ROUND(M12:M13,2))</f>
        <v>24790021.969999999</v>
      </c>
      <c r="N14" s="197" cm="1">
        <f t="array" ref="N14">SUM(ROUND(N12:N13,2))</f>
        <v>495000</v>
      </c>
      <c r="O14" s="197" cm="1">
        <f t="array" ref="O14">SUM(ROUND(O12:O13,2))</f>
        <v>0</v>
      </c>
      <c r="P14" s="197" cm="1">
        <f t="array" ref="P14">SUM(ROUND(P12:P13,2))</f>
        <v>24295021.969999999</v>
      </c>
      <c r="Q14" s="197" cm="1">
        <f t="array" ref="Q14">SUM(ROUND(Q12:Q13,2))</f>
        <v>40000</v>
      </c>
      <c r="R14" s="197" cm="1">
        <f t="array" ref="R14">SUM(ROUND(R12:R13,2))</f>
        <v>0</v>
      </c>
      <c r="S14" s="197" cm="1">
        <f t="array" ref="S14">SUM(ROUND(S12:S13,2))</f>
        <v>24255021.969999999</v>
      </c>
      <c r="T14" s="197"/>
      <c r="U14" s="197">
        <f>SUM(U12:U13)</f>
        <v>35819.81</v>
      </c>
      <c r="V14" s="197">
        <f>SUM(V12:V13)</f>
        <v>0</v>
      </c>
      <c r="W14" s="196">
        <f>SUM(W12:W13)</f>
        <v>45996.124184068285</v>
      </c>
      <c r="X14" s="197">
        <f>SUM(X12:X13)</f>
        <v>81815.93418406829</v>
      </c>
    </row>
    <row r="15" spans="1:27" x14ac:dyDescent="0.25">
      <c r="T15" s="198"/>
      <c r="U15" s="199"/>
      <c r="V15" s="198"/>
      <c r="W15" s="198"/>
      <c r="X15" s="200"/>
    </row>
    <row r="16" spans="1:27" x14ac:dyDescent="0.25">
      <c r="Y16" s="201"/>
    </row>
    <row r="17" spans="25:25" x14ac:dyDescent="0.25">
      <c r="Y17" s="201"/>
    </row>
    <row r="18" spans="25:25" x14ac:dyDescent="0.25">
      <c r="Y18" s="201"/>
    </row>
    <row r="19" spans="25:25" x14ac:dyDescent="0.25">
      <c r="Y19" s="201"/>
    </row>
    <row r="20" spans="25:25" x14ac:dyDescent="0.25">
      <c r="Y20" s="202"/>
    </row>
  </sheetData>
  <mergeCells count="33">
    <mergeCell ref="Y9:Z10"/>
    <mergeCell ref="AA9:AA10"/>
    <mergeCell ref="B14:C14"/>
    <mergeCell ref="P9:P11"/>
    <mergeCell ref="Q9:Q11"/>
    <mergeCell ref="R9:R11"/>
    <mergeCell ref="S9:S11"/>
    <mergeCell ref="T9:T11"/>
    <mergeCell ref="U9:U10"/>
    <mergeCell ref="I9:J10"/>
    <mergeCell ref="K9:K11"/>
    <mergeCell ref="L9:L11"/>
    <mergeCell ref="M9:M11"/>
    <mergeCell ref="N9:N11"/>
    <mergeCell ref="O9:O11"/>
    <mergeCell ref="A6:V6"/>
    <mergeCell ref="A7:V7"/>
    <mergeCell ref="A9:A11"/>
    <mergeCell ref="B9:B11"/>
    <mergeCell ref="C9:C11"/>
    <mergeCell ref="D9:D11"/>
    <mergeCell ref="E9:E11"/>
    <mergeCell ref="F9:F11"/>
    <mergeCell ref="G9:G11"/>
    <mergeCell ref="H9:H11"/>
    <mergeCell ref="V9:V11"/>
    <mergeCell ref="A5:H5"/>
    <mergeCell ref="T5:V5"/>
    <mergeCell ref="A1:V1"/>
    <mergeCell ref="A2:V2"/>
    <mergeCell ref="A3:B3"/>
    <mergeCell ref="A4:B4"/>
    <mergeCell ref="T4:V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3A9D2-79DE-4376-B03B-05B63CFE7CC5}">
  <sheetPr>
    <tabColor rgb="FF00B050"/>
  </sheetPr>
  <dimension ref="A1:N16"/>
  <sheetViews>
    <sheetView workbookViewId="0">
      <selection activeCell="G26" sqref="G26"/>
    </sheetView>
  </sheetViews>
  <sheetFormatPr defaultColWidth="11.44140625" defaultRowHeight="19.8" x14ac:dyDescent="0.25"/>
  <cols>
    <col min="1" max="1" width="5.6640625" style="165" customWidth="1"/>
    <col min="2" max="2" width="27.44140625" style="165" customWidth="1"/>
    <col min="3" max="3" width="23.5546875" style="165" customWidth="1"/>
    <col min="4" max="4" width="15.109375" style="204" bestFit="1" customWidth="1"/>
    <col min="5" max="5" width="20.88671875" style="165" customWidth="1"/>
    <col min="6" max="6" width="14.109375" style="164" customWidth="1"/>
    <col min="7" max="7" width="20.6640625" style="164" customWidth="1"/>
    <col min="8" max="8" width="28.109375" style="165" customWidth="1"/>
    <col min="9" max="11" width="16.88671875" style="165" customWidth="1"/>
    <col min="12" max="12" width="11.44140625" style="165"/>
    <col min="13" max="13" width="18.88671875" style="165" customWidth="1"/>
    <col min="14" max="14" width="16.109375" style="165" customWidth="1"/>
    <col min="15" max="256" width="11.44140625" style="165"/>
    <col min="257" max="257" width="5.6640625" style="165" customWidth="1"/>
    <col min="258" max="258" width="29.109375" style="165" customWidth="1"/>
    <col min="259" max="259" width="22.33203125" style="165" customWidth="1"/>
    <col min="260" max="260" width="0" style="165" hidden="1" customWidth="1"/>
    <col min="261" max="261" width="20.88671875" style="165" customWidth="1"/>
    <col min="262" max="262" width="14.109375" style="165" customWidth="1"/>
    <col min="263" max="263" width="20.6640625" style="165" customWidth="1"/>
    <col min="264" max="264" width="28.109375" style="165" customWidth="1"/>
    <col min="265" max="267" width="16.88671875" style="165" customWidth="1"/>
    <col min="268" max="268" width="11.44140625" style="165"/>
    <col min="269" max="269" width="18.88671875" style="165" customWidth="1"/>
    <col min="270" max="270" width="16.109375" style="165" customWidth="1"/>
    <col min="271" max="512" width="11.44140625" style="165"/>
    <col min="513" max="513" width="5.6640625" style="165" customWidth="1"/>
    <col min="514" max="514" width="29.109375" style="165" customWidth="1"/>
    <col min="515" max="515" width="22.33203125" style="165" customWidth="1"/>
    <col min="516" max="516" width="0" style="165" hidden="1" customWidth="1"/>
    <col min="517" max="517" width="20.88671875" style="165" customWidth="1"/>
    <col min="518" max="518" width="14.109375" style="165" customWidth="1"/>
    <col min="519" max="519" width="20.6640625" style="165" customWidth="1"/>
    <col min="520" max="520" width="28.109375" style="165" customWidth="1"/>
    <col min="521" max="523" width="16.88671875" style="165" customWidth="1"/>
    <col min="524" max="524" width="11.44140625" style="165"/>
    <col min="525" max="525" width="18.88671875" style="165" customWidth="1"/>
    <col min="526" max="526" width="16.109375" style="165" customWidth="1"/>
    <col min="527" max="768" width="11.44140625" style="165"/>
    <col min="769" max="769" width="5.6640625" style="165" customWidth="1"/>
    <col min="770" max="770" width="29.109375" style="165" customWidth="1"/>
    <col min="771" max="771" width="22.33203125" style="165" customWidth="1"/>
    <col min="772" max="772" width="0" style="165" hidden="1" customWidth="1"/>
    <col min="773" max="773" width="20.88671875" style="165" customWidth="1"/>
    <col min="774" max="774" width="14.109375" style="165" customWidth="1"/>
    <col min="775" max="775" width="20.6640625" style="165" customWidth="1"/>
    <col min="776" max="776" width="28.109375" style="165" customWidth="1"/>
    <col min="777" max="779" width="16.88671875" style="165" customWidth="1"/>
    <col min="780" max="780" width="11.44140625" style="165"/>
    <col min="781" max="781" width="18.88671875" style="165" customWidth="1"/>
    <col min="782" max="782" width="16.109375" style="165" customWidth="1"/>
    <col min="783" max="1024" width="11.44140625" style="165"/>
    <col min="1025" max="1025" width="5.6640625" style="165" customWidth="1"/>
    <col min="1026" max="1026" width="29.109375" style="165" customWidth="1"/>
    <col min="1027" max="1027" width="22.33203125" style="165" customWidth="1"/>
    <col min="1028" max="1028" width="0" style="165" hidden="1" customWidth="1"/>
    <col min="1029" max="1029" width="20.88671875" style="165" customWidth="1"/>
    <col min="1030" max="1030" width="14.109375" style="165" customWidth="1"/>
    <col min="1031" max="1031" width="20.6640625" style="165" customWidth="1"/>
    <col min="1032" max="1032" width="28.109375" style="165" customWidth="1"/>
    <col min="1033" max="1035" width="16.88671875" style="165" customWidth="1"/>
    <col min="1036" max="1036" width="11.44140625" style="165"/>
    <col min="1037" max="1037" width="18.88671875" style="165" customWidth="1"/>
    <col min="1038" max="1038" width="16.109375" style="165" customWidth="1"/>
    <col min="1039" max="1280" width="11.44140625" style="165"/>
    <col min="1281" max="1281" width="5.6640625" style="165" customWidth="1"/>
    <col min="1282" max="1282" width="29.109375" style="165" customWidth="1"/>
    <col min="1283" max="1283" width="22.33203125" style="165" customWidth="1"/>
    <col min="1284" max="1284" width="0" style="165" hidden="1" customWidth="1"/>
    <col min="1285" max="1285" width="20.88671875" style="165" customWidth="1"/>
    <col min="1286" max="1286" width="14.109375" style="165" customWidth="1"/>
    <col min="1287" max="1287" width="20.6640625" style="165" customWidth="1"/>
    <col min="1288" max="1288" width="28.109375" style="165" customWidth="1"/>
    <col min="1289" max="1291" width="16.88671875" style="165" customWidth="1"/>
    <col min="1292" max="1292" width="11.44140625" style="165"/>
    <col min="1293" max="1293" width="18.88671875" style="165" customWidth="1"/>
    <col min="1294" max="1294" width="16.109375" style="165" customWidth="1"/>
    <col min="1295" max="1536" width="11.44140625" style="165"/>
    <col min="1537" max="1537" width="5.6640625" style="165" customWidth="1"/>
    <col min="1538" max="1538" width="29.109375" style="165" customWidth="1"/>
    <col min="1539" max="1539" width="22.33203125" style="165" customWidth="1"/>
    <col min="1540" max="1540" width="0" style="165" hidden="1" customWidth="1"/>
    <col min="1541" max="1541" width="20.88671875" style="165" customWidth="1"/>
    <col min="1542" max="1542" width="14.109375" style="165" customWidth="1"/>
    <col min="1543" max="1543" width="20.6640625" style="165" customWidth="1"/>
    <col min="1544" max="1544" width="28.109375" style="165" customWidth="1"/>
    <col min="1545" max="1547" width="16.88671875" style="165" customWidth="1"/>
    <col min="1548" max="1548" width="11.44140625" style="165"/>
    <col min="1549" max="1549" width="18.88671875" style="165" customWidth="1"/>
    <col min="1550" max="1550" width="16.109375" style="165" customWidth="1"/>
    <col min="1551" max="1792" width="11.44140625" style="165"/>
    <col min="1793" max="1793" width="5.6640625" style="165" customWidth="1"/>
    <col min="1794" max="1794" width="29.109375" style="165" customWidth="1"/>
    <col min="1795" max="1795" width="22.33203125" style="165" customWidth="1"/>
    <col min="1796" max="1796" width="0" style="165" hidden="1" customWidth="1"/>
    <col min="1797" max="1797" width="20.88671875" style="165" customWidth="1"/>
    <col min="1798" max="1798" width="14.109375" style="165" customWidth="1"/>
    <col min="1799" max="1799" width="20.6640625" style="165" customWidth="1"/>
    <col min="1800" max="1800" width="28.109375" style="165" customWidth="1"/>
    <col min="1801" max="1803" width="16.88671875" style="165" customWidth="1"/>
    <col min="1804" max="1804" width="11.44140625" style="165"/>
    <col min="1805" max="1805" width="18.88671875" style="165" customWidth="1"/>
    <col min="1806" max="1806" width="16.109375" style="165" customWidth="1"/>
    <col min="1807" max="2048" width="11.44140625" style="165"/>
    <col min="2049" max="2049" width="5.6640625" style="165" customWidth="1"/>
    <col min="2050" max="2050" width="29.109375" style="165" customWidth="1"/>
    <col min="2051" max="2051" width="22.33203125" style="165" customWidth="1"/>
    <col min="2052" max="2052" width="0" style="165" hidden="1" customWidth="1"/>
    <col min="2053" max="2053" width="20.88671875" style="165" customWidth="1"/>
    <col min="2054" max="2054" width="14.109375" style="165" customWidth="1"/>
    <col min="2055" max="2055" width="20.6640625" style="165" customWidth="1"/>
    <col min="2056" max="2056" width="28.109375" style="165" customWidth="1"/>
    <col min="2057" max="2059" width="16.88671875" style="165" customWidth="1"/>
    <col min="2060" max="2060" width="11.44140625" style="165"/>
    <col min="2061" max="2061" width="18.88671875" style="165" customWidth="1"/>
    <col min="2062" max="2062" width="16.109375" style="165" customWidth="1"/>
    <col min="2063" max="2304" width="11.44140625" style="165"/>
    <col min="2305" max="2305" width="5.6640625" style="165" customWidth="1"/>
    <col min="2306" max="2306" width="29.109375" style="165" customWidth="1"/>
    <col min="2307" max="2307" width="22.33203125" style="165" customWidth="1"/>
    <col min="2308" max="2308" width="0" style="165" hidden="1" customWidth="1"/>
    <col min="2309" max="2309" width="20.88671875" style="165" customWidth="1"/>
    <col min="2310" max="2310" width="14.109375" style="165" customWidth="1"/>
    <col min="2311" max="2311" width="20.6640625" style="165" customWidth="1"/>
    <col min="2312" max="2312" width="28.109375" style="165" customWidth="1"/>
    <col min="2313" max="2315" width="16.88671875" style="165" customWidth="1"/>
    <col min="2316" max="2316" width="11.44140625" style="165"/>
    <col min="2317" max="2317" width="18.88671875" style="165" customWidth="1"/>
    <col min="2318" max="2318" width="16.109375" style="165" customWidth="1"/>
    <col min="2319" max="2560" width="11.44140625" style="165"/>
    <col min="2561" max="2561" width="5.6640625" style="165" customWidth="1"/>
    <col min="2562" max="2562" width="29.109375" style="165" customWidth="1"/>
    <col min="2563" max="2563" width="22.33203125" style="165" customWidth="1"/>
    <col min="2564" max="2564" width="0" style="165" hidden="1" customWidth="1"/>
    <col min="2565" max="2565" width="20.88671875" style="165" customWidth="1"/>
    <col min="2566" max="2566" width="14.109375" style="165" customWidth="1"/>
    <col min="2567" max="2567" width="20.6640625" style="165" customWidth="1"/>
    <col min="2568" max="2568" width="28.109375" style="165" customWidth="1"/>
    <col min="2569" max="2571" width="16.88671875" style="165" customWidth="1"/>
    <col min="2572" max="2572" width="11.44140625" style="165"/>
    <col min="2573" max="2573" width="18.88671875" style="165" customWidth="1"/>
    <col min="2574" max="2574" width="16.109375" style="165" customWidth="1"/>
    <col min="2575" max="2816" width="11.44140625" style="165"/>
    <col min="2817" max="2817" width="5.6640625" style="165" customWidth="1"/>
    <col min="2818" max="2818" width="29.109375" style="165" customWidth="1"/>
    <col min="2819" max="2819" width="22.33203125" style="165" customWidth="1"/>
    <col min="2820" max="2820" width="0" style="165" hidden="1" customWidth="1"/>
    <col min="2821" max="2821" width="20.88671875" style="165" customWidth="1"/>
    <col min="2822" max="2822" width="14.109375" style="165" customWidth="1"/>
    <col min="2823" max="2823" width="20.6640625" style="165" customWidth="1"/>
    <col min="2824" max="2824" width="28.109375" style="165" customWidth="1"/>
    <col min="2825" max="2827" width="16.88671875" style="165" customWidth="1"/>
    <col min="2828" max="2828" width="11.44140625" style="165"/>
    <col min="2829" max="2829" width="18.88671875" style="165" customWidth="1"/>
    <col min="2830" max="2830" width="16.109375" style="165" customWidth="1"/>
    <col min="2831" max="3072" width="11.44140625" style="165"/>
    <col min="3073" max="3073" width="5.6640625" style="165" customWidth="1"/>
    <col min="3074" max="3074" width="29.109375" style="165" customWidth="1"/>
    <col min="3075" max="3075" width="22.33203125" style="165" customWidth="1"/>
    <col min="3076" max="3076" width="0" style="165" hidden="1" customWidth="1"/>
    <col min="3077" max="3077" width="20.88671875" style="165" customWidth="1"/>
    <col min="3078" max="3078" width="14.109375" style="165" customWidth="1"/>
    <col min="3079" max="3079" width="20.6640625" style="165" customWidth="1"/>
    <col min="3080" max="3080" width="28.109375" style="165" customWidth="1"/>
    <col min="3081" max="3083" width="16.88671875" style="165" customWidth="1"/>
    <col min="3084" max="3084" width="11.44140625" style="165"/>
    <col min="3085" max="3085" width="18.88671875" style="165" customWidth="1"/>
    <col min="3086" max="3086" width="16.109375" style="165" customWidth="1"/>
    <col min="3087" max="3328" width="11.44140625" style="165"/>
    <col min="3329" max="3329" width="5.6640625" style="165" customWidth="1"/>
    <col min="3330" max="3330" width="29.109375" style="165" customWidth="1"/>
    <col min="3331" max="3331" width="22.33203125" style="165" customWidth="1"/>
    <col min="3332" max="3332" width="0" style="165" hidden="1" customWidth="1"/>
    <col min="3333" max="3333" width="20.88671875" style="165" customWidth="1"/>
    <col min="3334" max="3334" width="14.109375" style="165" customWidth="1"/>
    <col min="3335" max="3335" width="20.6640625" style="165" customWidth="1"/>
    <col min="3336" max="3336" width="28.109375" style="165" customWidth="1"/>
    <col min="3337" max="3339" width="16.88671875" style="165" customWidth="1"/>
    <col min="3340" max="3340" width="11.44140625" style="165"/>
    <col min="3341" max="3341" width="18.88671875" style="165" customWidth="1"/>
    <col min="3342" max="3342" width="16.109375" style="165" customWidth="1"/>
    <col min="3343" max="3584" width="11.44140625" style="165"/>
    <col min="3585" max="3585" width="5.6640625" style="165" customWidth="1"/>
    <col min="3586" max="3586" width="29.109375" style="165" customWidth="1"/>
    <col min="3587" max="3587" width="22.33203125" style="165" customWidth="1"/>
    <col min="3588" max="3588" width="0" style="165" hidden="1" customWidth="1"/>
    <col min="3589" max="3589" width="20.88671875" style="165" customWidth="1"/>
    <col min="3590" max="3590" width="14.109375" style="165" customWidth="1"/>
    <col min="3591" max="3591" width="20.6640625" style="165" customWidth="1"/>
    <col min="3592" max="3592" width="28.109375" style="165" customWidth="1"/>
    <col min="3593" max="3595" width="16.88671875" style="165" customWidth="1"/>
    <col min="3596" max="3596" width="11.44140625" style="165"/>
    <col min="3597" max="3597" width="18.88671875" style="165" customWidth="1"/>
    <col min="3598" max="3598" width="16.109375" style="165" customWidth="1"/>
    <col min="3599" max="3840" width="11.44140625" style="165"/>
    <col min="3841" max="3841" width="5.6640625" style="165" customWidth="1"/>
    <col min="3842" max="3842" width="29.109375" style="165" customWidth="1"/>
    <col min="3843" max="3843" width="22.33203125" style="165" customWidth="1"/>
    <col min="3844" max="3844" width="0" style="165" hidden="1" customWidth="1"/>
    <col min="3845" max="3845" width="20.88671875" style="165" customWidth="1"/>
    <col min="3846" max="3846" width="14.109375" style="165" customWidth="1"/>
    <col min="3847" max="3847" width="20.6640625" style="165" customWidth="1"/>
    <col min="3848" max="3848" width="28.109375" style="165" customWidth="1"/>
    <col min="3849" max="3851" width="16.88671875" style="165" customWidth="1"/>
    <col min="3852" max="3852" width="11.44140625" style="165"/>
    <col min="3853" max="3853" width="18.88671875" style="165" customWidth="1"/>
    <col min="3854" max="3854" width="16.109375" style="165" customWidth="1"/>
    <col min="3855" max="4096" width="11.44140625" style="165"/>
    <col min="4097" max="4097" width="5.6640625" style="165" customWidth="1"/>
    <col min="4098" max="4098" width="29.109375" style="165" customWidth="1"/>
    <col min="4099" max="4099" width="22.33203125" style="165" customWidth="1"/>
    <col min="4100" max="4100" width="0" style="165" hidden="1" customWidth="1"/>
    <col min="4101" max="4101" width="20.88671875" style="165" customWidth="1"/>
    <col min="4102" max="4102" width="14.109375" style="165" customWidth="1"/>
    <col min="4103" max="4103" width="20.6640625" style="165" customWidth="1"/>
    <col min="4104" max="4104" width="28.109375" style="165" customWidth="1"/>
    <col min="4105" max="4107" width="16.88671875" style="165" customWidth="1"/>
    <col min="4108" max="4108" width="11.44140625" style="165"/>
    <col min="4109" max="4109" width="18.88671875" style="165" customWidth="1"/>
    <col min="4110" max="4110" width="16.109375" style="165" customWidth="1"/>
    <col min="4111" max="4352" width="11.44140625" style="165"/>
    <col min="4353" max="4353" width="5.6640625" style="165" customWidth="1"/>
    <col min="4354" max="4354" width="29.109375" style="165" customWidth="1"/>
    <col min="4355" max="4355" width="22.33203125" style="165" customWidth="1"/>
    <col min="4356" max="4356" width="0" style="165" hidden="1" customWidth="1"/>
    <col min="4357" max="4357" width="20.88671875" style="165" customWidth="1"/>
    <col min="4358" max="4358" width="14.109375" style="165" customWidth="1"/>
    <col min="4359" max="4359" width="20.6640625" style="165" customWidth="1"/>
    <col min="4360" max="4360" width="28.109375" style="165" customWidth="1"/>
    <col min="4361" max="4363" width="16.88671875" style="165" customWidth="1"/>
    <col min="4364" max="4364" width="11.44140625" style="165"/>
    <col min="4365" max="4365" width="18.88671875" style="165" customWidth="1"/>
    <col min="4366" max="4366" width="16.109375" style="165" customWidth="1"/>
    <col min="4367" max="4608" width="11.44140625" style="165"/>
    <col min="4609" max="4609" width="5.6640625" style="165" customWidth="1"/>
    <col min="4610" max="4610" width="29.109375" style="165" customWidth="1"/>
    <col min="4611" max="4611" width="22.33203125" style="165" customWidth="1"/>
    <col min="4612" max="4612" width="0" style="165" hidden="1" customWidth="1"/>
    <col min="4613" max="4613" width="20.88671875" style="165" customWidth="1"/>
    <col min="4614" max="4614" width="14.109375" style="165" customWidth="1"/>
    <col min="4615" max="4615" width="20.6640625" style="165" customWidth="1"/>
    <col min="4616" max="4616" width="28.109375" style="165" customWidth="1"/>
    <col min="4617" max="4619" width="16.88671875" style="165" customWidth="1"/>
    <col min="4620" max="4620" width="11.44140625" style="165"/>
    <col min="4621" max="4621" width="18.88671875" style="165" customWidth="1"/>
    <col min="4622" max="4622" width="16.109375" style="165" customWidth="1"/>
    <col min="4623" max="4864" width="11.44140625" style="165"/>
    <col min="4865" max="4865" width="5.6640625" style="165" customWidth="1"/>
    <col min="4866" max="4866" width="29.109375" style="165" customWidth="1"/>
    <col min="4867" max="4867" width="22.33203125" style="165" customWidth="1"/>
    <col min="4868" max="4868" width="0" style="165" hidden="1" customWidth="1"/>
    <col min="4869" max="4869" width="20.88671875" style="165" customWidth="1"/>
    <col min="4870" max="4870" width="14.109375" style="165" customWidth="1"/>
    <col min="4871" max="4871" width="20.6640625" style="165" customWidth="1"/>
    <col min="4872" max="4872" width="28.109375" style="165" customWidth="1"/>
    <col min="4873" max="4875" width="16.88671875" style="165" customWidth="1"/>
    <col min="4876" max="4876" width="11.44140625" style="165"/>
    <col min="4877" max="4877" width="18.88671875" style="165" customWidth="1"/>
    <col min="4878" max="4878" width="16.109375" style="165" customWidth="1"/>
    <col min="4879" max="5120" width="11.44140625" style="165"/>
    <col min="5121" max="5121" width="5.6640625" style="165" customWidth="1"/>
    <col min="5122" max="5122" width="29.109375" style="165" customWidth="1"/>
    <col min="5123" max="5123" width="22.33203125" style="165" customWidth="1"/>
    <col min="5124" max="5124" width="0" style="165" hidden="1" customWidth="1"/>
    <col min="5125" max="5125" width="20.88671875" style="165" customWidth="1"/>
    <col min="5126" max="5126" width="14.109375" style="165" customWidth="1"/>
    <col min="5127" max="5127" width="20.6640625" style="165" customWidth="1"/>
    <col min="5128" max="5128" width="28.109375" style="165" customWidth="1"/>
    <col min="5129" max="5131" width="16.88671875" style="165" customWidth="1"/>
    <col min="5132" max="5132" width="11.44140625" style="165"/>
    <col min="5133" max="5133" width="18.88671875" style="165" customWidth="1"/>
    <col min="5134" max="5134" width="16.109375" style="165" customWidth="1"/>
    <col min="5135" max="5376" width="11.44140625" style="165"/>
    <col min="5377" max="5377" width="5.6640625" style="165" customWidth="1"/>
    <col min="5378" max="5378" width="29.109375" style="165" customWidth="1"/>
    <col min="5379" max="5379" width="22.33203125" style="165" customWidth="1"/>
    <col min="5380" max="5380" width="0" style="165" hidden="1" customWidth="1"/>
    <col min="5381" max="5381" width="20.88671875" style="165" customWidth="1"/>
    <col min="5382" max="5382" width="14.109375" style="165" customWidth="1"/>
    <col min="5383" max="5383" width="20.6640625" style="165" customWidth="1"/>
    <col min="5384" max="5384" width="28.109375" style="165" customWidth="1"/>
    <col min="5385" max="5387" width="16.88671875" style="165" customWidth="1"/>
    <col min="5388" max="5388" width="11.44140625" style="165"/>
    <col min="5389" max="5389" width="18.88671875" style="165" customWidth="1"/>
    <col min="5390" max="5390" width="16.109375" style="165" customWidth="1"/>
    <col min="5391" max="5632" width="11.44140625" style="165"/>
    <col min="5633" max="5633" width="5.6640625" style="165" customWidth="1"/>
    <col min="5634" max="5634" width="29.109375" style="165" customWidth="1"/>
    <col min="5635" max="5635" width="22.33203125" style="165" customWidth="1"/>
    <col min="5636" max="5636" width="0" style="165" hidden="1" customWidth="1"/>
    <col min="5637" max="5637" width="20.88671875" style="165" customWidth="1"/>
    <col min="5638" max="5638" width="14.109375" style="165" customWidth="1"/>
    <col min="5639" max="5639" width="20.6640625" style="165" customWidth="1"/>
    <col min="5640" max="5640" width="28.109375" style="165" customWidth="1"/>
    <col min="5641" max="5643" width="16.88671875" style="165" customWidth="1"/>
    <col min="5644" max="5644" width="11.44140625" style="165"/>
    <col min="5645" max="5645" width="18.88671875" style="165" customWidth="1"/>
    <col min="5646" max="5646" width="16.109375" style="165" customWidth="1"/>
    <col min="5647" max="5888" width="11.44140625" style="165"/>
    <col min="5889" max="5889" width="5.6640625" style="165" customWidth="1"/>
    <col min="5890" max="5890" width="29.109375" style="165" customWidth="1"/>
    <col min="5891" max="5891" width="22.33203125" style="165" customWidth="1"/>
    <col min="5892" max="5892" width="0" style="165" hidden="1" customWidth="1"/>
    <col min="5893" max="5893" width="20.88671875" style="165" customWidth="1"/>
    <col min="5894" max="5894" width="14.109375" style="165" customWidth="1"/>
    <col min="5895" max="5895" width="20.6640625" style="165" customWidth="1"/>
    <col min="5896" max="5896" width="28.109375" style="165" customWidth="1"/>
    <col min="5897" max="5899" width="16.88671875" style="165" customWidth="1"/>
    <col min="5900" max="5900" width="11.44140625" style="165"/>
    <col min="5901" max="5901" width="18.88671875" style="165" customWidth="1"/>
    <col min="5902" max="5902" width="16.109375" style="165" customWidth="1"/>
    <col min="5903" max="6144" width="11.44140625" style="165"/>
    <col min="6145" max="6145" width="5.6640625" style="165" customWidth="1"/>
    <col min="6146" max="6146" width="29.109375" style="165" customWidth="1"/>
    <col min="6147" max="6147" width="22.33203125" style="165" customWidth="1"/>
    <col min="6148" max="6148" width="0" style="165" hidden="1" customWidth="1"/>
    <col min="6149" max="6149" width="20.88671875" style="165" customWidth="1"/>
    <col min="6150" max="6150" width="14.109375" style="165" customWidth="1"/>
    <col min="6151" max="6151" width="20.6640625" style="165" customWidth="1"/>
    <col min="6152" max="6152" width="28.109375" style="165" customWidth="1"/>
    <col min="6153" max="6155" width="16.88671875" style="165" customWidth="1"/>
    <col min="6156" max="6156" width="11.44140625" style="165"/>
    <col min="6157" max="6157" width="18.88671875" style="165" customWidth="1"/>
    <col min="6158" max="6158" width="16.109375" style="165" customWidth="1"/>
    <col min="6159" max="6400" width="11.44140625" style="165"/>
    <col min="6401" max="6401" width="5.6640625" style="165" customWidth="1"/>
    <col min="6402" max="6402" width="29.109375" style="165" customWidth="1"/>
    <col min="6403" max="6403" width="22.33203125" style="165" customWidth="1"/>
    <col min="6404" max="6404" width="0" style="165" hidden="1" customWidth="1"/>
    <col min="6405" max="6405" width="20.88671875" style="165" customWidth="1"/>
    <col min="6406" max="6406" width="14.109375" style="165" customWidth="1"/>
    <col min="6407" max="6407" width="20.6640625" style="165" customWidth="1"/>
    <col min="6408" max="6408" width="28.109375" style="165" customWidth="1"/>
    <col min="6409" max="6411" width="16.88671875" style="165" customWidth="1"/>
    <col min="6412" max="6412" width="11.44140625" style="165"/>
    <col min="6413" max="6413" width="18.88671875" style="165" customWidth="1"/>
    <col min="6414" max="6414" width="16.109375" style="165" customWidth="1"/>
    <col min="6415" max="6656" width="11.44140625" style="165"/>
    <col min="6657" max="6657" width="5.6640625" style="165" customWidth="1"/>
    <col min="6658" max="6658" width="29.109375" style="165" customWidth="1"/>
    <col min="6659" max="6659" width="22.33203125" style="165" customWidth="1"/>
    <col min="6660" max="6660" width="0" style="165" hidden="1" customWidth="1"/>
    <col min="6661" max="6661" width="20.88671875" style="165" customWidth="1"/>
    <col min="6662" max="6662" width="14.109375" style="165" customWidth="1"/>
    <col min="6663" max="6663" width="20.6640625" style="165" customWidth="1"/>
    <col min="6664" max="6664" width="28.109375" style="165" customWidth="1"/>
    <col min="6665" max="6667" width="16.88671875" style="165" customWidth="1"/>
    <col min="6668" max="6668" width="11.44140625" style="165"/>
    <col min="6669" max="6669" width="18.88671875" style="165" customWidth="1"/>
    <col min="6670" max="6670" width="16.109375" style="165" customWidth="1"/>
    <col min="6671" max="6912" width="11.44140625" style="165"/>
    <col min="6913" max="6913" width="5.6640625" style="165" customWidth="1"/>
    <col min="6914" max="6914" width="29.109375" style="165" customWidth="1"/>
    <col min="6915" max="6915" width="22.33203125" style="165" customWidth="1"/>
    <col min="6916" max="6916" width="0" style="165" hidden="1" customWidth="1"/>
    <col min="6917" max="6917" width="20.88671875" style="165" customWidth="1"/>
    <col min="6918" max="6918" width="14.109375" style="165" customWidth="1"/>
    <col min="6919" max="6919" width="20.6640625" style="165" customWidth="1"/>
    <col min="6920" max="6920" width="28.109375" style="165" customWidth="1"/>
    <col min="6921" max="6923" width="16.88671875" style="165" customWidth="1"/>
    <col min="6924" max="6924" width="11.44140625" style="165"/>
    <col min="6925" max="6925" width="18.88671875" style="165" customWidth="1"/>
    <col min="6926" max="6926" width="16.109375" style="165" customWidth="1"/>
    <col min="6927" max="7168" width="11.44140625" style="165"/>
    <col min="7169" max="7169" width="5.6640625" style="165" customWidth="1"/>
    <col min="7170" max="7170" width="29.109375" style="165" customWidth="1"/>
    <col min="7171" max="7171" width="22.33203125" style="165" customWidth="1"/>
    <col min="7172" max="7172" width="0" style="165" hidden="1" customWidth="1"/>
    <col min="7173" max="7173" width="20.88671875" style="165" customWidth="1"/>
    <col min="7174" max="7174" width="14.109375" style="165" customWidth="1"/>
    <col min="7175" max="7175" width="20.6640625" style="165" customWidth="1"/>
    <col min="7176" max="7176" width="28.109375" style="165" customWidth="1"/>
    <col min="7177" max="7179" width="16.88671875" style="165" customWidth="1"/>
    <col min="7180" max="7180" width="11.44140625" style="165"/>
    <col min="7181" max="7181" width="18.88671875" style="165" customWidth="1"/>
    <col min="7182" max="7182" width="16.109375" style="165" customWidth="1"/>
    <col min="7183" max="7424" width="11.44140625" style="165"/>
    <col min="7425" max="7425" width="5.6640625" style="165" customWidth="1"/>
    <col min="7426" max="7426" width="29.109375" style="165" customWidth="1"/>
    <col min="7427" max="7427" width="22.33203125" style="165" customWidth="1"/>
    <col min="7428" max="7428" width="0" style="165" hidden="1" customWidth="1"/>
    <col min="7429" max="7429" width="20.88671875" style="165" customWidth="1"/>
    <col min="7430" max="7430" width="14.109375" style="165" customWidth="1"/>
    <col min="7431" max="7431" width="20.6640625" style="165" customWidth="1"/>
    <col min="7432" max="7432" width="28.109375" style="165" customWidth="1"/>
    <col min="7433" max="7435" width="16.88671875" style="165" customWidth="1"/>
    <col min="7436" max="7436" width="11.44140625" style="165"/>
    <col min="7437" max="7437" width="18.88671875" style="165" customWidth="1"/>
    <col min="7438" max="7438" width="16.109375" style="165" customWidth="1"/>
    <col min="7439" max="7680" width="11.44140625" style="165"/>
    <col min="7681" max="7681" width="5.6640625" style="165" customWidth="1"/>
    <col min="7682" max="7682" width="29.109375" style="165" customWidth="1"/>
    <col min="7683" max="7683" width="22.33203125" style="165" customWidth="1"/>
    <col min="7684" max="7684" width="0" style="165" hidden="1" customWidth="1"/>
    <col min="7685" max="7685" width="20.88671875" style="165" customWidth="1"/>
    <col min="7686" max="7686" width="14.109375" style="165" customWidth="1"/>
    <col min="7687" max="7687" width="20.6640625" style="165" customWidth="1"/>
    <col min="7688" max="7688" width="28.109375" style="165" customWidth="1"/>
    <col min="7689" max="7691" width="16.88671875" style="165" customWidth="1"/>
    <col min="7692" max="7692" width="11.44140625" style="165"/>
    <col min="7693" max="7693" width="18.88671875" style="165" customWidth="1"/>
    <col min="7694" max="7694" width="16.109375" style="165" customWidth="1"/>
    <col min="7695" max="7936" width="11.44140625" style="165"/>
    <col min="7937" max="7937" width="5.6640625" style="165" customWidth="1"/>
    <col min="7938" max="7938" width="29.109375" style="165" customWidth="1"/>
    <col min="7939" max="7939" width="22.33203125" style="165" customWidth="1"/>
    <col min="7940" max="7940" width="0" style="165" hidden="1" customWidth="1"/>
    <col min="7941" max="7941" width="20.88671875" style="165" customWidth="1"/>
    <col min="7942" max="7942" width="14.109375" style="165" customWidth="1"/>
    <col min="7943" max="7943" width="20.6640625" style="165" customWidth="1"/>
    <col min="7944" max="7944" width="28.109375" style="165" customWidth="1"/>
    <col min="7945" max="7947" width="16.88671875" style="165" customWidth="1"/>
    <col min="7948" max="7948" width="11.44140625" style="165"/>
    <col min="7949" max="7949" width="18.88671875" style="165" customWidth="1"/>
    <col min="7950" max="7950" width="16.109375" style="165" customWidth="1"/>
    <col min="7951" max="8192" width="11.44140625" style="165"/>
    <col min="8193" max="8193" width="5.6640625" style="165" customWidth="1"/>
    <col min="8194" max="8194" width="29.109375" style="165" customWidth="1"/>
    <col min="8195" max="8195" width="22.33203125" style="165" customWidth="1"/>
    <col min="8196" max="8196" width="0" style="165" hidden="1" customWidth="1"/>
    <col min="8197" max="8197" width="20.88671875" style="165" customWidth="1"/>
    <col min="8198" max="8198" width="14.109375" style="165" customWidth="1"/>
    <col min="8199" max="8199" width="20.6640625" style="165" customWidth="1"/>
    <col min="8200" max="8200" width="28.109375" style="165" customWidth="1"/>
    <col min="8201" max="8203" width="16.88671875" style="165" customWidth="1"/>
    <col min="8204" max="8204" width="11.44140625" style="165"/>
    <col min="8205" max="8205" width="18.88671875" style="165" customWidth="1"/>
    <col min="8206" max="8206" width="16.109375" style="165" customWidth="1"/>
    <col min="8207" max="8448" width="11.44140625" style="165"/>
    <col min="8449" max="8449" width="5.6640625" style="165" customWidth="1"/>
    <col min="8450" max="8450" width="29.109375" style="165" customWidth="1"/>
    <col min="8451" max="8451" width="22.33203125" style="165" customWidth="1"/>
    <col min="8452" max="8452" width="0" style="165" hidden="1" customWidth="1"/>
    <col min="8453" max="8453" width="20.88671875" style="165" customWidth="1"/>
    <col min="8454" max="8454" width="14.109375" style="165" customWidth="1"/>
    <col min="8455" max="8455" width="20.6640625" style="165" customWidth="1"/>
    <col min="8456" max="8456" width="28.109375" style="165" customWidth="1"/>
    <col min="8457" max="8459" width="16.88671875" style="165" customWidth="1"/>
    <col min="8460" max="8460" width="11.44140625" style="165"/>
    <col min="8461" max="8461" width="18.88671875" style="165" customWidth="1"/>
    <col min="8462" max="8462" width="16.109375" style="165" customWidth="1"/>
    <col min="8463" max="8704" width="11.44140625" style="165"/>
    <col min="8705" max="8705" width="5.6640625" style="165" customWidth="1"/>
    <col min="8706" max="8706" width="29.109375" style="165" customWidth="1"/>
    <col min="8707" max="8707" width="22.33203125" style="165" customWidth="1"/>
    <col min="8708" max="8708" width="0" style="165" hidden="1" customWidth="1"/>
    <col min="8709" max="8709" width="20.88671875" style="165" customWidth="1"/>
    <col min="8710" max="8710" width="14.109375" style="165" customWidth="1"/>
    <col min="8711" max="8711" width="20.6640625" style="165" customWidth="1"/>
    <col min="8712" max="8712" width="28.109375" style="165" customWidth="1"/>
    <col min="8713" max="8715" width="16.88671875" style="165" customWidth="1"/>
    <col min="8716" max="8716" width="11.44140625" style="165"/>
    <col min="8717" max="8717" width="18.88671875" style="165" customWidth="1"/>
    <col min="8718" max="8718" width="16.109375" style="165" customWidth="1"/>
    <col min="8719" max="8960" width="11.44140625" style="165"/>
    <col min="8961" max="8961" width="5.6640625" style="165" customWidth="1"/>
    <col min="8962" max="8962" width="29.109375" style="165" customWidth="1"/>
    <col min="8963" max="8963" width="22.33203125" style="165" customWidth="1"/>
    <col min="8964" max="8964" width="0" style="165" hidden="1" customWidth="1"/>
    <col min="8965" max="8965" width="20.88671875" style="165" customWidth="1"/>
    <col min="8966" max="8966" width="14.109375" style="165" customWidth="1"/>
    <col min="8967" max="8967" width="20.6640625" style="165" customWidth="1"/>
    <col min="8968" max="8968" width="28.109375" style="165" customWidth="1"/>
    <col min="8969" max="8971" width="16.88671875" style="165" customWidth="1"/>
    <col min="8972" max="8972" width="11.44140625" style="165"/>
    <col min="8973" max="8973" width="18.88671875" style="165" customWidth="1"/>
    <col min="8974" max="8974" width="16.109375" style="165" customWidth="1"/>
    <col min="8975" max="9216" width="11.44140625" style="165"/>
    <col min="9217" max="9217" width="5.6640625" style="165" customWidth="1"/>
    <col min="9218" max="9218" width="29.109375" style="165" customWidth="1"/>
    <col min="9219" max="9219" width="22.33203125" style="165" customWidth="1"/>
    <col min="9220" max="9220" width="0" style="165" hidden="1" customWidth="1"/>
    <col min="9221" max="9221" width="20.88671875" style="165" customWidth="1"/>
    <col min="9222" max="9222" width="14.109375" style="165" customWidth="1"/>
    <col min="9223" max="9223" width="20.6640625" style="165" customWidth="1"/>
    <col min="9224" max="9224" width="28.109375" style="165" customWidth="1"/>
    <col min="9225" max="9227" width="16.88671875" style="165" customWidth="1"/>
    <col min="9228" max="9228" width="11.44140625" style="165"/>
    <col min="9229" max="9229" width="18.88671875" style="165" customWidth="1"/>
    <col min="9230" max="9230" width="16.109375" style="165" customWidth="1"/>
    <col min="9231" max="9472" width="11.44140625" style="165"/>
    <col min="9473" max="9473" width="5.6640625" style="165" customWidth="1"/>
    <col min="9474" max="9474" width="29.109375" style="165" customWidth="1"/>
    <col min="9475" max="9475" width="22.33203125" style="165" customWidth="1"/>
    <col min="9476" max="9476" width="0" style="165" hidden="1" customWidth="1"/>
    <col min="9477" max="9477" width="20.88671875" style="165" customWidth="1"/>
    <col min="9478" max="9478" width="14.109375" style="165" customWidth="1"/>
    <col min="9479" max="9479" width="20.6640625" style="165" customWidth="1"/>
    <col min="9480" max="9480" width="28.109375" style="165" customWidth="1"/>
    <col min="9481" max="9483" width="16.88671875" style="165" customWidth="1"/>
    <col min="9484" max="9484" width="11.44140625" style="165"/>
    <col min="9485" max="9485" width="18.88671875" style="165" customWidth="1"/>
    <col min="9486" max="9486" width="16.109375" style="165" customWidth="1"/>
    <col min="9487" max="9728" width="11.44140625" style="165"/>
    <col min="9729" max="9729" width="5.6640625" style="165" customWidth="1"/>
    <col min="9730" max="9730" width="29.109375" style="165" customWidth="1"/>
    <col min="9731" max="9731" width="22.33203125" style="165" customWidth="1"/>
    <col min="9732" max="9732" width="0" style="165" hidden="1" customWidth="1"/>
    <col min="9733" max="9733" width="20.88671875" style="165" customWidth="1"/>
    <col min="9734" max="9734" width="14.109375" style="165" customWidth="1"/>
    <col min="9735" max="9735" width="20.6640625" style="165" customWidth="1"/>
    <col min="9736" max="9736" width="28.109375" style="165" customWidth="1"/>
    <col min="9737" max="9739" width="16.88671875" style="165" customWidth="1"/>
    <col min="9740" max="9740" width="11.44140625" style="165"/>
    <col min="9741" max="9741" width="18.88671875" style="165" customWidth="1"/>
    <col min="9742" max="9742" width="16.109375" style="165" customWidth="1"/>
    <col min="9743" max="9984" width="11.44140625" style="165"/>
    <col min="9985" max="9985" width="5.6640625" style="165" customWidth="1"/>
    <col min="9986" max="9986" width="29.109375" style="165" customWidth="1"/>
    <col min="9987" max="9987" width="22.33203125" style="165" customWidth="1"/>
    <col min="9988" max="9988" width="0" style="165" hidden="1" customWidth="1"/>
    <col min="9989" max="9989" width="20.88671875" style="165" customWidth="1"/>
    <col min="9990" max="9990" width="14.109375" style="165" customWidth="1"/>
    <col min="9991" max="9991" width="20.6640625" style="165" customWidth="1"/>
    <col min="9992" max="9992" width="28.109375" style="165" customWidth="1"/>
    <col min="9993" max="9995" width="16.88671875" style="165" customWidth="1"/>
    <col min="9996" max="9996" width="11.44140625" style="165"/>
    <col min="9997" max="9997" width="18.88671875" style="165" customWidth="1"/>
    <col min="9998" max="9998" width="16.109375" style="165" customWidth="1"/>
    <col min="9999" max="10240" width="11.44140625" style="165"/>
    <col min="10241" max="10241" width="5.6640625" style="165" customWidth="1"/>
    <col min="10242" max="10242" width="29.109375" style="165" customWidth="1"/>
    <col min="10243" max="10243" width="22.33203125" style="165" customWidth="1"/>
    <col min="10244" max="10244" width="0" style="165" hidden="1" customWidth="1"/>
    <col min="10245" max="10245" width="20.88671875" style="165" customWidth="1"/>
    <col min="10246" max="10246" width="14.109375" style="165" customWidth="1"/>
    <col min="10247" max="10247" width="20.6640625" style="165" customWidth="1"/>
    <col min="10248" max="10248" width="28.109375" style="165" customWidth="1"/>
    <col min="10249" max="10251" width="16.88671875" style="165" customWidth="1"/>
    <col min="10252" max="10252" width="11.44140625" style="165"/>
    <col min="10253" max="10253" width="18.88671875" style="165" customWidth="1"/>
    <col min="10254" max="10254" width="16.109375" style="165" customWidth="1"/>
    <col min="10255" max="10496" width="11.44140625" style="165"/>
    <col min="10497" max="10497" width="5.6640625" style="165" customWidth="1"/>
    <col min="10498" max="10498" width="29.109375" style="165" customWidth="1"/>
    <col min="10499" max="10499" width="22.33203125" style="165" customWidth="1"/>
    <col min="10500" max="10500" width="0" style="165" hidden="1" customWidth="1"/>
    <col min="10501" max="10501" width="20.88671875" style="165" customWidth="1"/>
    <col min="10502" max="10502" width="14.109375" style="165" customWidth="1"/>
    <col min="10503" max="10503" width="20.6640625" style="165" customWidth="1"/>
    <col min="10504" max="10504" width="28.109375" style="165" customWidth="1"/>
    <col min="10505" max="10507" width="16.88671875" style="165" customWidth="1"/>
    <col min="10508" max="10508" width="11.44140625" style="165"/>
    <col min="10509" max="10509" width="18.88671875" style="165" customWidth="1"/>
    <col min="10510" max="10510" width="16.109375" style="165" customWidth="1"/>
    <col min="10511" max="10752" width="11.44140625" style="165"/>
    <col min="10753" max="10753" width="5.6640625" style="165" customWidth="1"/>
    <col min="10754" max="10754" width="29.109375" style="165" customWidth="1"/>
    <col min="10755" max="10755" width="22.33203125" style="165" customWidth="1"/>
    <col min="10756" max="10756" width="0" style="165" hidden="1" customWidth="1"/>
    <col min="10757" max="10757" width="20.88671875" style="165" customWidth="1"/>
    <col min="10758" max="10758" width="14.109375" style="165" customWidth="1"/>
    <col min="10759" max="10759" width="20.6640625" style="165" customWidth="1"/>
    <col min="10760" max="10760" width="28.109375" style="165" customWidth="1"/>
    <col min="10761" max="10763" width="16.88671875" style="165" customWidth="1"/>
    <col min="10764" max="10764" width="11.44140625" style="165"/>
    <col min="10765" max="10765" width="18.88671875" style="165" customWidth="1"/>
    <col min="10766" max="10766" width="16.109375" style="165" customWidth="1"/>
    <col min="10767" max="11008" width="11.44140625" style="165"/>
    <col min="11009" max="11009" width="5.6640625" style="165" customWidth="1"/>
    <col min="11010" max="11010" width="29.109375" style="165" customWidth="1"/>
    <col min="11011" max="11011" width="22.33203125" style="165" customWidth="1"/>
    <col min="11012" max="11012" width="0" style="165" hidden="1" customWidth="1"/>
    <col min="11013" max="11013" width="20.88671875" style="165" customWidth="1"/>
    <col min="11014" max="11014" width="14.109375" style="165" customWidth="1"/>
    <col min="11015" max="11015" width="20.6640625" style="165" customWidth="1"/>
    <col min="11016" max="11016" width="28.109375" style="165" customWidth="1"/>
    <col min="11017" max="11019" width="16.88671875" style="165" customWidth="1"/>
    <col min="11020" max="11020" width="11.44140625" style="165"/>
    <col min="11021" max="11021" width="18.88671875" style="165" customWidth="1"/>
    <col min="11022" max="11022" width="16.109375" style="165" customWidth="1"/>
    <col min="11023" max="11264" width="11.44140625" style="165"/>
    <col min="11265" max="11265" width="5.6640625" style="165" customWidth="1"/>
    <col min="11266" max="11266" width="29.109375" style="165" customWidth="1"/>
    <col min="11267" max="11267" width="22.33203125" style="165" customWidth="1"/>
    <col min="11268" max="11268" width="0" style="165" hidden="1" customWidth="1"/>
    <col min="11269" max="11269" width="20.88671875" style="165" customWidth="1"/>
    <col min="11270" max="11270" width="14.109375" style="165" customWidth="1"/>
    <col min="11271" max="11271" width="20.6640625" style="165" customWidth="1"/>
    <col min="11272" max="11272" width="28.109375" style="165" customWidth="1"/>
    <col min="11273" max="11275" width="16.88671875" style="165" customWidth="1"/>
    <col min="11276" max="11276" width="11.44140625" style="165"/>
    <col min="11277" max="11277" width="18.88671875" style="165" customWidth="1"/>
    <col min="11278" max="11278" width="16.109375" style="165" customWidth="1"/>
    <col min="11279" max="11520" width="11.44140625" style="165"/>
    <col min="11521" max="11521" width="5.6640625" style="165" customWidth="1"/>
    <col min="11522" max="11522" width="29.109375" style="165" customWidth="1"/>
    <col min="11523" max="11523" width="22.33203125" style="165" customWidth="1"/>
    <col min="11524" max="11524" width="0" style="165" hidden="1" customWidth="1"/>
    <col min="11525" max="11525" width="20.88671875" style="165" customWidth="1"/>
    <col min="11526" max="11526" width="14.109375" style="165" customWidth="1"/>
    <col min="11527" max="11527" width="20.6640625" style="165" customWidth="1"/>
    <col min="11528" max="11528" width="28.109375" style="165" customWidth="1"/>
    <col min="11529" max="11531" width="16.88671875" style="165" customWidth="1"/>
    <col min="11532" max="11532" width="11.44140625" style="165"/>
    <col min="11533" max="11533" width="18.88671875" style="165" customWidth="1"/>
    <col min="11534" max="11534" width="16.109375" style="165" customWidth="1"/>
    <col min="11535" max="11776" width="11.44140625" style="165"/>
    <col min="11777" max="11777" width="5.6640625" style="165" customWidth="1"/>
    <col min="11778" max="11778" width="29.109375" style="165" customWidth="1"/>
    <col min="11779" max="11779" width="22.33203125" style="165" customWidth="1"/>
    <col min="11780" max="11780" width="0" style="165" hidden="1" customWidth="1"/>
    <col min="11781" max="11781" width="20.88671875" style="165" customWidth="1"/>
    <col min="11782" max="11782" width="14.109375" style="165" customWidth="1"/>
    <col min="11783" max="11783" width="20.6640625" style="165" customWidth="1"/>
    <col min="11784" max="11784" width="28.109375" style="165" customWidth="1"/>
    <col min="11785" max="11787" width="16.88671875" style="165" customWidth="1"/>
    <col min="11788" max="11788" width="11.44140625" style="165"/>
    <col min="11789" max="11789" width="18.88671875" style="165" customWidth="1"/>
    <col min="11790" max="11790" width="16.109375" style="165" customWidth="1"/>
    <col min="11791" max="12032" width="11.44140625" style="165"/>
    <col min="12033" max="12033" width="5.6640625" style="165" customWidth="1"/>
    <col min="12034" max="12034" width="29.109375" style="165" customWidth="1"/>
    <col min="12035" max="12035" width="22.33203125" style="165" customWidth="1"/>
    <col min="12036" max="12036" width="0" style="165" hidden="1" customWidth="1"/>
    <col min="12037" max="12037" width="20.88671875" style="165" customWidth="1"/>
    <col min="12038" max="12038" width="14.109375" style="165" customWidth="1"/>
    <col min="12039" max="12039" width="20.6640625" style="165" customWidth="1"/>
    <col min="12040" max="12040" width="28.109375" style="165" customWidth="1"/>
    <col min="12041" max="12043" width="16.88671875" style="165" customWidth="1"/>
    <col min="12044" max="12044" width="11.44140625" style="165"/>
    <col min="12045" max="12045" width="18.88671875" style="165" customWidth="1"/>
    <col min="12046" max="12046" width="16.109375" style="165" customWidth="1"/>
    <col min="12047" max="12288" width="11.44140625" style="165"/>
    <col min="12289" max="12289" width="5.6640625" style="165" customWidth="1"/>
    <col min="12290" max="12290" width="29.109375" style="165" customWidth="1"/>
    <col min="12291" max="12291" width="22.33203125" style="165" customWidth="1"/>
    <col min="12292" max="12292" width="0" style="165" hidden="1" customWidth="1"/>
    <col min="12293" max="12293" width="20.88671875" style="165" customWidth="1"/>
    <col min="12294" max="12294" width="14.109375" style="165" customWidth="1"/>
    <col min="12295" max="12295" width="20.6640625" style="165" customWidth="1"/>
    <col min="12296" max="12296" width="28.109375" style="165" customWidth="1"/>
    <col min="12297" max="12299" width="16.88671875" style="165" customWidth="1"/>
    <col min="12300" max="12300" width="11.44140625" style="165"/>
    <col min="12301" max="12301" width="18.88671875" style="165" customWidth="1"/>
    <col min="12302" max="12302" width="16.109375" style="165" customWidth="1"/>
    <col min="12303" max="12544" width="11.44140625" style="165"/>
    <col min="12545" max="12545" width="5.6640625" style="165" customWidth="1"/>
    <col min="12546" max="12546" width="29.109375" style="165" customWidth="1"/>
    <col min="12547" max="12547" width="22.33203125" style="165" customWidth="1"/>
    <col min="12548" max="12548" width="0" style="165" hidden="1" customWidth="1"/>
    <col min="12549" max="12549" width="20.88671875" style="165" customWidth="1"/>
    <col min="12550" max="12550" width="14.109375" style="165" customWidth="1"/>
    <col min="12551" max="12551" width="20.6640625" style="165" customWidth="1"/>
    <col min="12552" max="12552" width="28.109375" style="165" customWidth="1"/>
    <col min="12553" max="12555" width="16.88671875" style="165" customWidth="1"/>
    <col min="12556" max="12556" width="11.44140625" style="165"/>
    <col min="12557" max="12557" width="18.88671875" style="165" customWidth="1"/>
    <col min="12558" max="12558" width="16.109375" style="165" customWidth="1"/>
    <col min="12559" max="12800" width="11.44140625" style="165"/>
    <col min="12801" max="12801" width="5.6640625" style="165" customWidth="1"/>
    <col min="12802" max="12802" width="29.109375" style="165" customWidth="1"/>
    <col min="12803" max="12803" width="22.33203125" style="165" customWidth="1"/>
    <col min="12804" max="12804" width="0" style="165" hidden="1" customWidth="1"/>
    <col min="12805" max="12805" width="20.88671875" style="165" customWidth="1"/>
    <col min="12806" max="12806" width="14.109375" style="165" customWidth="1"/>
    <col min="12807" max="12807" width="20.6640625" style="165" customWidth="1"/>
    <col min="12808" max="12808" width="28.109375" style="165" customWidth="1"/>
    <col min="12809" max="12811" width="16.88671875" style="165" customWidth="1"/>
    <col min="12812" max="12812" width="11.44140625" style="165"/>
    <col min="12813" max="12813" width="18.88671875" style="165" customWidth="1"/>
    <col min="12814" max="12814" width="16.109375" style="165" customWidth="1"/>
    <col min="12815" max="13056" width="11.44140625" style="165"/>
    <col min="13057" max="13057" width="5.6640625" style="165" customWidth="1"/>
    <col min="13058" max="13058" width="29.109375" style="165" customWidth="1"/>
    <col min="13059" max="13059" width="22.33203125" style="165" customWidth="1"/>
    <col min="13060" max="13060" width="0" style="165" hidden="1" customWidth="1"/>
    <col min="13061" max="13061" width="20.88671875" style="165" customWidth="1"/>
    <col min="13062" max="13062" width="14.109375" style="165" customWidth="1"/>
    <col min="13063" max="13063" width="20.6640625" style="165" customWidth="1"/>
    <col min="13064" max="13064" width="28.109375" style="165" customWidth="1"/>
    <col min="13065" max="13067" width="16.88671875" style="165" customWidth="1"/>
    <col min="13068" max="13068" width="11.44140625" style="165"/>
    <col min="13069" max="13069" width="18.88671875" style="165" customWidth="1"/>
    <col min="13070" max="13070" width="16.109375" style="165" customWidth="1"/>
    <col min="13071" max="13312" width="11.44140625" style="165"/>
    <col min="13313" max="13313" width="5.6640625" style="165" customWidth="1"/>
    <col min="13314" max="13314" width="29.109375" style="165" customWidth="1"/>
    <col min="13315" max="13315" width="22.33203125" style="165" customWidth="1"/>
    <col min="13316" max="13316" width="0" style="165" hidden="1" customWidth="1"/>
    <col min="13317" max="13317" width="20.88671875" style="165" customWidth="1"/>
    <col min="13318" max="13318" width="14.109375" style="165" customWidth="1"/>
    <col min="13319" max="13319" width="20.6640625" style="165" customWidth="1"/>
    <col min="13320" max="13320" width="28.109375" style="165" customWidth="1"/>
    <col min="13321" max="13323" width="16.88671875" style="165" customWidth="1"/>
    <col min="13324" max="13324" width="11.44140625" style="165"/>
    <col min="13325" max="13325" width="18.88671875" style="165" customWidth="1"/>
    <col min="13326" max="13326" width="16.109375" style="165" customWidth="1"/>
    <col min="13327" max="13568" width="11.44140625" style="165"/>
    <col min="13569" max="13569" width="5.6640625" style="165" customWidth="1"/>
    <col min="13570" max="13570" width="29.109375" style="165" customWidth="1"/>
    <col min="13571" max="13571" width="22.33203125" style="165" customWidth="1"/>
    <col min="13572" max="13572" width="0" style="165" hidden="1" customWidth="1"/>
    <col min="13573" max="13573" width="20.88671875" style="165" customWidth="1"/>
    <col min="13574" max="13574" width="14.109375" style="165" customWidth="1"/>
    <col min="13575" max="13575" width="20.6640625" style="165" customWidth="1"/>
    <col min="13576" max="13576" width="28.109375" style="165" customWidth="1"/>
    <col min="13577" max="13579" width="16.88671875" style="165" customWidth="1"/>
    <col min="13580" max="13580" width="11.44140625" style="165"/>
    <col min="13581" max="13581" width="18.88671875" style="165" customWidth="1"/>
    <col min="13582" max="13582" width="16.109375" style="165" customWidth="1"/>
    <col min="13583" max="13824" width="11.44140625" style="165"/>
    <col min="13825" max="13825" width="5.6640625" style="165" customWidth="1"/>
    <col min="13826" max="13826" width="29.109375" style="165" customWidth="1"/>
    <col min="13827" max="13827" width="22.33203125" style="165" customWidth="1"/>
    <col min="13828" max="13828" width="0" style="165" hidden="1" customWidth="1"/>
    <col min="13829" max="13829" width="20.88671875" style="165" customWidth="1"/>
    <col min="13830" max="13830" width="14.109375" style="165" customWidth="1"/>
    <col min="13831" max="13831" width="20.6640625" style="165" customWidth="1"/>
    <col min="13832" max="13832" width="28.109375" style="165" customWidth="1"/>
    <col min="13833" max="13835" width="16.88671875" style="165" customWidth="1"/>
    <col min="13836" max="13836" width="11.44140625" style="165"/>
    <col min="13837" max="13837" width="18.88671875" style="165" customWidth="1"/>
    <col min="13838" max="13838" width="16.109375" style="165" customWidth="1"/>
    <col min="13839" max="14080" width="11.44140625" style="165"/>
    <col min="14081" max="14081" width="5.6640625" style="165" customWidth="1"/>
    <col min="14082" max="14082" width="29.109375" style="165" customWidth="1"/>
    <col min="14083" max="14083" width="22.33203125" style="165" customWidth="1"/>
    <col min="14084" max="14084" width="0" style="165" hidden="1" customWidth="1"/>
    <col min="14085" max="14085" width="20.88671875" style="165" customWidth="1"/>
    <col min="14086" max="14086" width="14.109375" style="165" customWidth="1"/>
    <col min="14087" max="14087" width="20.6640625" style="165" customWidth="1"/>
    <col min="14088" max="14088" width="28.109375" style="165" customWidth="1"/>
    <col min="14089" max="14091" width="16.88671875" style="165" customWidth="1"/>
    <col min="14092" max="14092" width="11.44140625" style="165"/>
    <col min="14093" max="14093" width="18.88671875" style="165" customWidth="1"/>
    <col min="14094" max="14094" width="16.109375" style="165" customWidth="1"/>
    <col min="14095" max="14336" width="11.44140625" style="165"/>
    <col min="14337" max="14337" width="5.6640625" style="165" customWidth="1"/>
    <col min="14338" max="14338" width="29.109375" style="165" customWidth="1"/>
    <col min="14339" max="14339" width="22.33203125" style="165" customWidth="1"/>
    <col min="14340" max="14340" width="0" style="165" hidden="1" customWidth="1"/>
    <col min="14341" max="14341" width="20.88671875" style="165" customWidth="1"/>
    <col min="14342" max="14342" width="14.109375" style="165" customWidth="1"/>
    <col min="14343" max="14343" width="20.6640625" style="165" customWidth="1"/>
    <col min="14344" max="14344" width="28.109375" style="165" customWidth="1"/>
    <col min="14345" max="14347" width="16.88671875" style="165" customWidth="1"/>
    <col min="14348" max="14348" width="11.44140625" style="165"/>
    <col min="14349" max="14349" width="18.88671875" style="165" customWidth="1"/>
    <col min="14350" max="14350" width="16.109375" style="165" customWidth="1"/>
    <col min="14351" max="14592" width="11.44140625" style="165"/>
    <col min="14593" max="14593" width="5.6640625" style="165" customWidth="1"/>
    <col min="14594" max="14594" width="29.109375" style="165" customWidth="1"/>
    <col min="14595" max="14595" width="22.33203125" style="165" customWidth="1"/>
    <col min="14596" max="14596" width="0" style="165" hidden="1" customWidth="1"/>
    <col min="14597" max="14597" width="20.88671875" style="165" customWidth="1"/>
    <col min="14598" max="14598" width="14.109375" style="165" customWidth="1"/>
    <col min="14599" max="14599" width="20.6640625" style="165" customWidth="1"/>
    <col min="14600" max="14600" width="28.109375" style="165" customWidth="1"/>
    <col min="14601" max="14603" width="16.88671875" style="165" customWidth="1"/>
    <col min="14604" max="14604" width="11.44140625" style="165"/>
    <col min="14605" max="14605" width="18.88671875" style="165" customWidth="1"/>
    <col min="14606" max="14606" width="16.109375" style="165" customWidth="1"/>
    <col min="14607" max="14848" width="11.44140625" style="165"/>
    <col min="14849" max="14849" width="5.6640625" style="165" customWidth="1"/>
    <col min="14850" max="14850" width="29.109375" style="165" customWidth="1"/>
    <col min="14851" max="14851" width="22.33203125" style="165" customWidth="1"/>
    <col min="14852" max="14852" width="0" style="165" hidden="1" customWidth="1"/>
    <col min="14853" max="14853" width="20.88671875" style="165" customWidth="1"/>
    <col min="14854" max="14854" width="14.109375" style="165" customWidth="1"/>
    <col min="14855" max="14855" width="20.6640625" style="165" customWidth="1"/>
    <col min="14856" max="14856" width="28.109375" style="165" customWidth="1"/>
    <col min="14857" max="14859" width="16.88671875" style="165" customWidth="1"/>
    <col min="14860" max="14860" width="11.44140625" style="165"/>
    <col min="14861" max="14861" width="18.88671875" style="165" customWidth="1"/>
    <col min="14862" max="14862" width="16.109375" style="165" customWidth="1"/>
    <col min="14863" max="15104" width="11.44140625" style="165"/>
    <col min="15105" max="15105" width="5.6640625" style="165" customWidth="1"/>
    <col min="15106" max="15106" width="29.109375" style="165" customWidth="1"/>
    <col min="15107" max="15107" width="22.33203125" style="165" customWidth="1"/>
    <col min="15108" max="15108" width="0" style="165" hidden="1" customWidth="1"/>
    <col min="15109" max="15109" width="20.88671875" style="165" customWidth="1"/>
    <col min="15110" max="15110" width="14.109375" style="165" customWidth="1"/>
    <col min="15111" max="15111" width="20.6640625" style="165" customWidth="1"/>
    <col min="15112" max="15112" width="28.109375" style="165" customWidth="1"/>
    <col min="15113" max="15115" width="16.88671875" style="165" customWidth="1"/>
    <col min="15116" max="15116" width="11.44140625" style="165"/>
    <col min="15117" max="15117" width="18.88671875" style="165" customWidth="1"/>
    <col min="15118" max="15118" width="16.109375" style="165" customWidth="1"/>
    <col min="15119" max="15360" width="11.44140625" style="165"/>
    <col min="15361" max="15361" width="5.6640625" style="165" customWidth="1"/>
    <col min="15362" max="15362" width="29.109375" style="165" customWidth="1"/>
    <col min="15363" max="15363" width="22.33203125" style="165" customWidth="1"/>
    <col min="15364" max="15364" width="0" style="165" hidden="1" customWidth="1"/>
    <col min="15365" max="15365" width="20.88671875" style="165" customWidth="1"/>
    <col min="15366" max="15366" width="14.109375" style="165" customWidth="1"/>
    <col min="15367" max="15367" width="20.6640625" style="165" customWidth="1"/>
    <col min="15368" max="15368" width="28.109375" style="165" customWidth="1"/>
    <col min="15369" max="15371" width="16.88671875" style="165" customWidth="1"/>
    <col min="15372" max="15372" width="11.44140625" style="165"/>
    <col min="15373" max="15373" width="18.88671875" style="165" customWidth="1"/>
    <col min="15374" max="15374" width="16.109375" style="165" customWidth="1"/>
    <col min="15375" max="15616" width="11.44140625" style="165"/>
    <col min="15617" max="15617" width="5.6640625" style="165" customWidth="1"/>
    <col min="15618" max="15618" width="29.109375" style="165" customWidth="1"/>
    <col min="15619" max="15619" width="22.33203125" style="165" customWidth="1"/>
    <col min="15620" max="15620" width="0" style="165" hidden="1" customWidth="1"/>
    <col min="15621" max="15621" width="20.88671875" style="165" customWidth="1"/>
    <col min="15622" max="15622" width="14.109375" style="165" customWidth="1"/>
    <col min="15623" max="15623" width="20.6640625" style="165" customWidth="1"/>
    <col min="15624" max="15624" width="28.109375" style="165" customWidth="1"/>
    <col min="15625" max="15627" width="16.88671875" style="165" customWidth="1"/>
    <col min="15628" max="15628" width="11.44140625" style="165"/>
    <col min="15629" max="15629" width="18.88671875" style="165" customWidth="1"/>
    <col min="15630" max="15630" width="16.109375" style="165" customWidth="1"/>
    <col min="15631" max="15872" width="11.44140625" style="165"/>
    <col min="15873" max="15873" width="5.6640625" style="165" customWidth="1"/>
    <col min="15874" max="15874" width="29.109375" style="165" customWidth="1"/>
    <col min="15875" max="15875" width="22.33203125" style="165" customWidth="1"/>
    <col min="15876" max="15876" width="0" style="165" hidden="1" customWidth="1"/>
    <col min="15877" max="15877" width="20.88671875" style="165" customWidth="1"/>
    <col min="15878" max="15878" width="14.109375" style="165" customWidth="1"/>
    <col min="15879" max="15879" width="20.6640625" style="165" customWidth="1"/>
    <col min="15880" max="15880" width="28.109375" style="165" customWidth="1"/>
    <col min="15881" max="15883" width="16.88671875" style="165" customWidth="1"/>
    <col min="15884" max="15884" width="11.44140625" style="165"/>
    <col min="15885" max="15885" width="18.88671875" style="165" customWidth="1"/>
    <col min="15886" max="15886" width="16.109375" style="165" customWidth="1"/>
    <col min="15887" max="16128" width="11.44140625" style="165"/>
    <col min="16129" max="16129" width="5.6640625" style="165" customWidth="1"/>
    <col min="16130" max="16130" width="29.109375" style="165" customWidth="1"/>
    <col min="16131" max="16131" width="22.33203125" style="165" customWidth="1"/>
    <col min="16132" max="16132" width="0" style="165" hidden="1" customWidth="1"/>
    <col min="16133" max="16133" width="20.88671875" style="165" customWidth="1"/>
    <col min="16134" max="16134" width="14.109375" style="165" customWidth="1"/>
    <col min="16135" max="16135" width="20.6640625" style="165" customWidth="1"/>
    <col min="16136" max="16136" width="28.109375" style="165" customWidth="1"/>
    <col min="16137" max="16139" width="16.88671875" style="165" customWidth="1"/>
    <col min="16140" max="16140" width="11.44140625" style="165"/>
    <col min="16141" max="16141" width="18.88671875" style="165" customWidth="1"/>
    <col min="16142" max="16142" width="16.109375" style="165" customWidth="1"/>
    <col min="16143" max="16384" width="11.44140625" style="165"/>
  </cols>
  <sheetData>
    <row r="1" spans="1:14" x14ac:dyDescent="0.25">
      <c r="A1" s="467" t="s">
        <v>30</v>
      </c>
      <c r="B1" s="467"/>
      <c r="C1" s="467"/>
      <c r="D1" s="467"/>
      <c r="E1" s="467"/>
      <c r="F1" s="467"/>
      <c r="G1" s="467"/>
      <c r="H1" s="467"/>
    </row>
    <row r="2" spans="1:14" x14ac:dyDescent="0.25">
      <c r="A2" s="467" t="s">
        <v>31</v>
      </c>
      <c r="B2" s="467"/>
      <c r="C2" s="467"/>
      <c r="D2" s="467"/>
      <c r="E2" s="467"/>
      <c r="F2" s="467"/>
      <c r="G2" s="467"/>
      <c r="H2" s="467"/>
    </row>
    <row r="3" spans="1:14" x14ac:dyDescent="0.25">
      <c r="A3" s="468" t="s">
        <v>34</v>
      </c>
      <c r="B3" s="468"/>
    </row>
    <row r="4" spans="1:14" x14ac:dyDescent="0.25">
      <c r="A4" s="468" t="s">
        <v>26</v>
      </c>
      <c r="B4" s="468"/>
      <c r="F4" s="205"/>
      <c r="G4" s="205"/>
      <c r="H4" s="167" t="s">
        <v>186</v>
      </c>
    </row>
    <row r="5" spans="1:14" ht="24.6" x14ac:dyDescent="0.25">
      <c r="A5" s="465"/>
      <c r="B5" s="465"/>
      <c r="C5" s="465"/>
      <c r="D5" s="465"/>
      <c r="E5" s="465"/>
      <c r="G5" s="499" t="s">
        <v>146</v>
      </c>
      <c r="H5" s="499"/>
    </row>
    <row r="6" spans="1:14" ht="23.4" x14ac:dyDescent="0.25">
      <c r="A6" s="469" t="s">
        <v>187</v>
      </c>
      <c r="B6" s="469"/>
      <c r="C6" s="469"/>
      <c r="D6" s="469"/>
      <c r="E6" s="469"/>
      <c r="F6" s="469"/>
      <c r="G6" s="469"/>
      <c r="H6" s="469"/>
    </row>
    <row r="7" spans="1:14" x14ac:dyDescent="0.25">
      <c r="A7" s="467" t="str">
        <f>[1]BKK!A7</f>
        <v>ປະຈຳເດືອນ ສິງຫາ (08) 2026</v>
      </c>
      <c r="B7" s="467"/>
      <c r="C7" s="467"/>
      <c r="D7" s="467"/>
      <c r="E7" s="467"/>
      <c r="F7" s="467"/>
      <c r="G7" s="467"/>
      <c r="H7" s="467"/>
    </row>
    <row r="8" spans="1:14" hidden="1" x14ac:dyDescent="0.25">
      <c r="A8" s="170"/>
      <c r="C8" s="171">
        <v>258.7</v>
      </c>
    </row>
    <row r="9" spans="1:14" x14ac:dyDescent="0.25">
      <c r="A9" s="470" t="s">
        <v>3</v>
      </c>
      <c r="B9" s="470" t="s">
        <v>4</v>
      </c>
      <c r="C9" s="470" t="s">
        <v>66</v>
      </c>
      <c r="D9" s="476" t="s">
        <v>179</v>
      </c>
      <c r="E9" s="488" t="s">
        <v>188</v>
      </c>
      <c r="F9" s="503" t="s">
        <v>175</v>
      </c>
      <c r="G9" s="491" t="s">
        <v>189</v>
      </c>
      <c r="H9" s="482" t="s">
        <v>176</v>
      </c>
    </row>
    <row r="10" spans="1:14" s="170" customFormat="1" x14ac:dyDescent="0.25">
      <c r="A10" s="471"/>
      <c r="B10" s="471"/>
      <c r="C10" s="471"/>
      <c r="D10" s="477"/>
      <c r="E10" s="489"/>
      <c r="F10" s="504"/>
      <c r="G10" s="491"/>
      <c r="H10" s="482"/>
    </row>
    <row r="11" spans="1:14" s="170" customFormat="1" x14ac:dyDescent="0.25">
      <c r="A11" s="472"/>
      <c r="B11" s="472"/>
      <c r="C11" s="472"/>
      <c r="D11" s="478"/>
      <c r="E11" s="490"/>
      <c r="F11" s="505"/>
      <c r="G11" s="491"/>
      <c r="H11" s="482"/>
      <c r="J11" s="206">
        <f>20000/F12</f>
        <v>29.535989603331661</v>
      </c>
    </row>
    <row r="12" spans="1:14" x14ac:dyDescent="0.25">
      <c r="A12" s="183">
        <v>1</v>
      </c>
      <c r="B12" s="6" t="s">
        <v>138</v>
      </c>
      <c r="C12" s="6" t="s">
        <v>140</v>
      </c>
      <c r="D12" s="207">
        <f>[1]BKK!W12</f>
        <v>31297.476208760374</v>
      </c>
      <c r="E12" s="187">
        <f>ROUND(D12*$F$12,2)</f>
        <v>21192773.039999999</v>
      </c>
      <c r="F12" s="188">
        <f>[1]BKK!T12</f>
        <v>677.14</v>
      </c>
      <c r="G12" s="208">
        <f>E12/F12</f>
        <v>31297.476208760374</v>
      </c>
      <c r="H12" s="209"/>
      <c r="I12" s="192">
        <f>+[1]BKK!U12+[1]PBKK!G12</f>
        <v>49970.466208760379</v>
      </c>
      <c r="J12" s="192">
        <f>20000/F12+I12</f>
        <v>50000.002198363713</v>
      </c>
      <c r="K12" s="192">
        <f>[1]BKK!U12+[1]PBKK!G12+[1]PBKK!J11</f>
        <v>50000.002198363713</v>
      </c>
      <c r="N12" s="192"/>
    </row>
    <row r="13" spans="1:14" x14ac:dyDescent="0.25">
      <c r="A13" s="183">
        <v>2</v>
      </c>
      <c r="B13" s="6" t="s">
        <v>139</v>
      </c>
      <c r="C13" s="6" t="s">
        <v>141</v>
      </c>
      <c r="D13" s="207">
        <f>[1]BKK!W13</f>
        <v>14698.647975307911</v>
      </c>
      <c r="E13" s="187">
        <f>ROUND(D13*$F$12,2)</f>
        <v>9953042.4900000002</v>
      </c>
      <c r="F13" s="188">
        <f>[1]BKK!T13</f>
        <v>677.14</v>
      </c>
      <c r="G13" s="188">
        <f>E13/F13</f>
        <v>14698.647975307913</v>
      </c>
      <c r="H13" s="209"/>
      <c r="I13" s="192">
        <f>+[1]BKK!U13+[1]PBKK!G13</f>
        <v>31845.467975307911</v>
      </c>
      <c r="J13" s="192">
        <f>[1]for!AH17/F13+I13</f>
        <v>31875.003964911244</v>
      </c>
      <c r="K13" s="192">
        <f>[1]BKK!U13+[1]PBKK!G13+[1]PBKK!J11</f>
        <v>31875.003964911244</v>
      </c>
    </row>
    <row r="14" spans="1:14" x14ac:dyDescent="0.25">
      <c r="A14" s="193"/>
      <c r="B14" s="500" t="s">
        <v>19</v>
      </c>
      <c r="C14" s="501"/>
      <c r="D14" s="210">
        <f>SUM(D12:D13)</f>
        <v>45996.124184068285</v>
      </c>
      <c r="E14" s="210" cm="1">
        <f t="array" ref="E14">SUM(ROUND(E12:E13,2))</f>
        <v>31145815.530000001</v>
      </c>
      <c r="F14" s="210"/>
      <c r="G14" s="210">
        <f>SUM(G12:G13)</f>
        <v>45996.124184068285</v>
      </c>
      <c r="H14" s="210">
        <f>SUM(H12:H13)</f>
        <v>0</v>
      </c>
      <c r="I14" s="211"/>
      <c r="J14" s="192"/>
    </row>
    <row r="15" spans="1:14" x14ac:dyDescent="0.25">
      <c r="F15" s="502"/>
      <c r="G15" s="502"/>
    </row>
    <row r="16" spans="1:14" x14ac:dyDescent="0.25">
      <c r="F16" s="203"/>
    </row>
  </sheetData>
  <mergeCells count="18">
    <mergeCell ref="B14:C14"/>
    <mergeCell ref="F15:G15"/>
    <mergeCell ref="A6:H6"/>
    <mergeCell ref="A7:H7"/>
    <mergeCell ref="A9:A11"/>
    <mergeCell ref="B9:B11"/>
    <mergeCell ref="C9:C11"/>
    <mergeCell ref="D9:D11"/>
    <mergeCell ref="E9:E11"/>
    <mergeCell ref="F9:F11"/>
    <mergeCell ref="G9:G11"/>
    <mergeCell ref="H9:H11"/>
    <mergeCell ref="A1:H1"/>
    <mergeCell ref="A2:H2"/>
    <mergeCell ref="A3:B3"/>
    <mergeCell ref="A4:B4"/>
    <mergeCell ref="A5:E5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9</vt:i4>
      </vt:variant>
    </vt:vector>
  </HeadingPairs>
  <TitlesOfParts>
    <vt:vector size="21" baseType="lpstr">
      <vt:lpstr>ຊັ້ນຂັ້ນ</vt:lpstr>
      <vt:lpstr>ປີການ.</vt:lpstr>
      <vt:lpstr>ຂັ້ນເງິນເດືອນ</vt:lpstr>
      <vt:lpstr>Ground</vt:lpstr>
      <vt:lpstr>Crew</vt:lpstr>
      <vt:lpstr>TEX</vt:lpstr>
      <vt:lpstr>ຊຽ່ວຊານ</vt:lpstr>
      <vt:lpstr>for</vt:lpstr>
      <vt:lpstr>ex.ເງິນເດືອນ</vt:lpstr>
      <vt:lpstr>ex. ເງິນເຄື່ອນໄຫວ</vt:lpstr>
      <vt:lpstr>ex.bkk-1</vt:lpstr>
      <vt:lpstr>ex.bkk-2</vt:lpstr>
      <vt:lpstr>Crew!Print_Area</vt:lpstr>
      <vt:lpstr>for!Print_Area</vt:lpstr>
      <vt:lpstr>Ground!Print_Area</vt:lpstr>
      <vt:lpstr>TEX!Print_Area</vt:lpstr>
      <vt:lpstr>ຊຽ່ວຊານ!Print_Area</vt:lpstr>
      <vt:lpstr>Crew!Print_Titles</vt:lpstr>
      <vt:lpstr>Ground!Print_Titles</vt:lpstr>
      <vt:lpstr>TEX!Print_Titles</vt:lpstr>
      <vt:lpstr>ຊຽ່ວຊານ!Print_Titles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Khamla SOURIYASACK</cp:lastModifiedBy>
  <cp:lastPrinted>2026-08-28T04:01:51Z</cp:lastPrinted>
  <dcterms:created xsi:type="dcterms:W3CDTF">2019-02-27T01:58:52Z</dcterms:created>
  <dcterms:modified xsi:type="dcterms:W3CDTF">2026-09-14T07:30:16Z</dcterms:modified>
</cp:coreProperties>
</file>